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HP I5\Downloads\"/>
    </mc:Choice>
  </mc:AlternateContent>
  <xr:revisionPtr revIDLastSave="0" documentId="13_ncr:1_{60413B8C-61E8-4F4E-A14E-D39C6AF1F299}" xr6:coauthVersionLast="47" xr6:coauthVersionMax="47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Planilha1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8" l="1"/>
  <c r="M14" i="8"/>
  <c r="L14" i="8"/>
  <c r="K14" i="8"/>
  <c r="J14" i="8"/>
  <c r="I14" i="8"/>
  <c r="H14" i="8"/>
  <c r="G14" i="8"/>
  <c r="F14" i="8"/>
  <c r="E14" i="8"/>
</calcChain>
</file>

<file path=xl/sharedStrings.xml><?xml version="1.0" encoding="utf-8"?>
<sst xmlns="http://schemas.openxmlformats.org/spreadsheetml/2006/main" count="263" uniqueCount="127">
  <si>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</si>
  <si>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</si>
  <si>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</si>
  <si>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</si>
  <si>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</si>
  <si>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</si>
  <si>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</si>
  <si>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</si>
  <si>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</si>
  <si>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</si>
  <si>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</si>
  <si>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</si>
  <si>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</si>
  <si>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</si>
  <si>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</si>
  <si>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</si>
  <si>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</si>
  <si>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</si>
  <si>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</si>
  <si>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</si>
  <si>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</si>
  <si>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</si>
  <si>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</si>
  <si>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</si>
  <si>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</si>
  <si>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</si>
  <si>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</si>
  <si>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</si>
  <si>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</si>
  <si>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</si>
  <si>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</si>
  <si>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</si>
  <si>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</si>
  <si>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</si>
  <si>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</si>
  <si>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</si>
  <si>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</si>
  <si>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</si>
  <si>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</si>
  <si>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</si>
  <si>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</si>
  <si>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</si>
  <si>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</si>
  <si>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A.Cabine</t>
  </si>
  <si>
    <t>GVL</t>
  </si>
  <si>
    <t>Manual com abertura por bastão de manobra</t>
  </si>
  <si>
    <t>C:\Users\Lucão\Desktop\Rede\FATEC ADS\ProjetoCRUDVBA\imagens-de-teste\chave-seccionadora.jpg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</si>
  <si>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</si>
  <si>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</si>
  <si>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</si>
  <si>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</si>
  <si>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</si>
  <si>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</si>
  <si>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</si>
  <si>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</si>
  <si>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C:\Users\Lucão\Desktop\Rede\FATEC ADS\ProjetoCRUDVBA\imagens-de-teste\transformador-de-potencial-1.jpg</t>
  </si>
  <si>
    <t>Transformador de Corrente</t>
  </si>
  <si>
    <t>Instrumenti</t>
  </si>
  <si>
    <t>45/-kV</t>
  </si>
  <si>
    <t>1,2xin</t>
  </si>
  <si>
    <t>200-5A</t>
  </si>
  <si>
    <t>C:\Users\Lucão\Desktop\Rede\FATEC ADS\ProjetoCRUDVBA\imagens-de-teste\transformador-de-corrente-tc.jpg</t>
  </si>
  <si>
    <t>Para-Raios</t>
  </si>
  <si>
    <t>Balestro</t>
  </si>
  <si>
    <t>PBP12</t>
  </si>
  <si>
    <t>Polimérico</t>
  </si>
  <si>
    <t>C:\Users\Lucão\Desktop\Rede\FATEC ADS\ProjetoCRUDVBA\imagens-de-teste\Para-raios.jpg</t>
  </si>
  <si>
    <t>Transformador de Potência</t>
  </si>
  <si>
    <t>Cabine Secundária</t>
  </si>
  <si>
    <t>WEG</t>
  </si>
  <si>
    <t>1,75</t>
  </si>
  <si>
    <t>Óleo Mineral</t>
  </si>
  <si>
    <t>DYN1</t>
  </si>
  <si>
    <t>Rotativo Interno</t>
  </si>
  <si>
    <t>380/220</t>
  </si>
  <si>
    <t>C:\Users\Lucão\Desktop\Rede\FATEC ADS\ProjetoCRUDVBA\imagens-de-teste\TransformadorPotencia.jpg</t>
  </si>
  <si>
    <t>Disjuntor</t>
  </si>
  <si>
    <t>MAF15</t>
  </si>
  <si>
    <t>Manual e Motorizado</t>
  </si>
  <si>
    <t>Indireto</t>
  </si>
  <si>
    <t>-</t>
  </si>
  <si>
    <t>C:\Users\Lucão\Desktop\Rede\FATEC ADS\ProjetoCRUDVBA\imagens-de-teste\disjuntor.jpg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</si>
  <si>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</si>
  <si>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</si>
  <si>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</si>
  <si>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</si>
  <si>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</si>
  <si>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</si>
  <si>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</si>
  <si>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</si>
  <si>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</si>
  <si>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</si>
  <si>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</si>
  <si>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</si>
  <si>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</si>
  <si>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</si>
  <si>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</si>
  <si>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</si>
  <si>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</si>
  <si>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</si>
  <si>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</si>
  <si>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</si>
  <si>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</si>
  <si>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</si>
  <si>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</si>
  <si>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</si>
  <si>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</si>
  <si>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C:\Users\Lucão\Desktop\Rede\FATEC ADS\ProjetoCRUDVBA\imagens-de-teste\para-raios-distribuicao-porcelana-cinza.jpg</t>
  </si>
  <si>
    <t>Multilaser SA</t>
  </si>
  <si>
    <t>TR555</t>
  </si>
  <si>
    <t>W5TR27</t>
  </si>
  <si>
    <t>13,8/13,2/12,6/12,0/11,4</t>
  </si>
  <si>
    <t>Asus Eletronics</t>
  </si>
  <si>
    <t>K593</t>
  </si>
  <si>
    <t>PP159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</si>
  <si>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</si>
  <si>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</si>
  <si>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</si>
  <si>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</si>
  <si>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</si>
  <si>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</si>
  <si>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</si>
  <si>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</si>
  <si>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</si>
  <si>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</si>
  <si>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Falso</t>
  </si>
  <si>
    <t>Will Geradores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</si>
</sst>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0" fontId="0" fillId="0" borderId="4" xfId="0" applyBorder="1" applyAlignment="1">
      <alignment horizontal="center"/>
    </xf>
  </cellXfs>
  <cellStyles count="1">
    <cellStyle name="Normal" xfId="0" builtinId="0"/>
  </cellStyles>
  <dxfs count="34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1:E13" totalsRowShown="0" headerRowDxfId="33">
  <autoFilter ref="A1:E13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000-000001000000}" name="Codigo" dataDxfId="32"/>
    <tableColumn id="2" xr3:uid="{00000000-0010-0000-0000-000002000000}" name="TipoDeEquipamento" dataDxfId="31"/>
    <tableColumn id="3" xr3:uid="{00000000-0010-0000-0000-000003000000}" name="Cliente" dataDxfId="30"/>
    <tableColumn id="4" xr3:uid="{00000000-0010-0000-0000-000004000000}" name="Identificacao" dataDxfId="29"/>
    <tableColumn id="5" xr3:uid="{00000000-0010-0000-0000-000005000000}" name="DataCadastro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1:R2" totalsRowShown="0" headerRowDxfId="27">
  <autoFilter ref="A1:R2" xr:uid="{00000000-0009-0000-0100-000001000000}"/>
  <tableColumns count="18">
    <tableColumn id="1" xr3:uid="{00000000-0010-0000-0100-000001000000}" name="Codigo" dataDxfId="26"/>
    <tableColumn id="2" xr3:uid="{00000000-0010-0000-0100-000002000000}" name="Cliente" dataDxfId="25"/>
    <tableColumn id="3" xr3:uid="{00000000-0010-0000-0100-000003000000}" name="Identificacao" dataDxfId="24"/>
    <tableColumn id="4" xr3:uid="{00000000-0010-0000-0100-000004000000}" name="Fabricante" dataDxfId="23"/>
    <tableColumn id="5" xr3:uid="{00000000-0010-0000-0100-000005000000}" name="Tipo" dataDxfId="22"/>
    <tableColumn id="6" xr3:uid="{00000000-0010-0000-0100-000006000000}" name="AnoDeFabricacao" dataDxfId="21"/>
    <tableColumn id="7" xr3:uid="{00000000-0010-0000-0100-000007000000}" name="NBI" dataDxfId="20"/>
    <tableColumn id="8" xr3:uid="{00000000-0010-0000-0100-000008000000}" name="FatorTermico" dataDxfId="19"/>
    <tableColumn id="9" xr3:uid="{00000000-0010-0000-0100-000009000000}" name="ClasseTensao" dataDxfId="18"/>
    <tableColumn id="10" xr3:uid="{00000000-0010-0000-0100-00000A000000}" name="PesoTotal" dataDxfId="17"/>
    <tableColumn id="11" xr3:uid="{00000000-0010-0000-0100-00000B000000}" name="Exatidao" dataDxfId="16"/>
    <tableColumn id="12" xr3:uid="{00000000-0010-0000-0100-00000C000000}" name="Relacao" dataDxfId="15"/>
    <tableColumn id="13" xr3:uid="{00000000-0010-0000-0100-00000D000000}" name="Isolante" dataDxfId="14"/>
    <tableColumn id="14" xr3:uid="{00000000-0010-0000-0100-00000E000000}" name="SerieFaseR" dataDxfId="13"/>
    <tableColumn id="15" xr3:uid="{00000000-0010-0000-0100-00000F000000}" name="SerieFaseS" dataDxfId="12"/>
    <tableColumn id="16" xr3:uid="{00000000-0010-0000-0100-000010000000}" name="SerieFaseT" dataDxfId="11"/>
    <tableColumn id="17" xr3:uid="{00000000-0010-0000-0100-000011000000}" name="CaminhoImagem" dataDxfId="10"/>
    <tableColumn id="18" xr3:uid="{00000000-0010-0000-0100-000012000000}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K5" totalsRowShown="0">
  <autoFilter ref="A1:K5" xr:uid="{00000000-0009-0000-0100-000003000000}"/>
  <tableColumns count="11">
    <tableColumn id="1" xr3:uid="{00000000-0010-0000-0200-000001000000}" name="Codigo"/>
    <tableColumn id="2" xr3:uid="{00000000-0010-0000-0200-000002000000}" name="Cliente"/>
    <tableColumn id="3" xr3:uid="{00000000-0010-0000-0200-000003000000}" name="Identificacao"/>
    <tableColumn id="4" xr3:uid="{00000000-0010-0000-0200-000004000000}" name="Fabricante"/>
    <tableColumn id="5" xr3:uid="{00000000-0010-0000-0200-000005000000}" name="Tipo"/>
    <tableColumn id="6" xr3:uid="{00000000-0010-0000-0200-000006000000}" name="Serie"/>
    <tableColumn id="7" xr3:uid="{00000000-0010-0000-0200-000007000000}" name="TipoDeMecanismo"/>
    <tableColumn id="8" xr3:uid="{00000000-0010-0000-0200-000008000000}" name="CorrenteNominal" dataDxfId="8"/>
    <tableColumn id="9" xr3:uid="{00000000-0010-0000-0200-000009000000}" name="TensaoNominal" dataDxfId="7"/>
    <tableColumn id="10" xr3:uid="{00000000-0010-0000-0200-00000A000000}" name="CaminhoImagem"/>
    <tableColumn id="11" xr3:uid="{00000000-0010-0000-0200-00000B000000}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1:O2" totalsRowShown="0">
  <autoFilter ref="A1:O2" xr:uid="{00000000-0009-0000-0100-000004000000}"/>
  <tableColumns count="15">
    <tableColumn id="1" xr3:uid="{00000000-0010-0000-0300-000001000000}" name="Codigo"/>
    <tableColumn id="2" xr3:uid="{00000000-0010-0000-0300-000002000000}" name="Cliente"/>
    <tableColumn id="3" xr3:uid="{00000000-0010-0000-0300-000003000000}" name="Identificacao"/>
    <tableColumn id="4" xr3:uid="{00000000-0010-0000-0300-000004000000}" name="Fabricante"/>
    <tableColumn id="5" xr3:uid="{00000000-0010-0000-0300-000005000000}" name="Tipo"/>
    <tableColumn id="6" xr3:uid="{00000000-0010-0000-0300-000006000000}" name="AnoDeFabricacao"/>
    <tableColumn id="7" xr3:uid="{00000000-0010-0000-0300-000007000000}" name="NumSerie"/>
    <tableColumn id="8" xr3:uid="{00000000-0010-0000-0300-000008000000}" name="CorrenteNominal"/>
    <tableColumn id="9" xr3:uid="{00000000-0010-0000-0300-000009000000}" name="TensaoNominal"/>
    <tableColumn id="10" xr3:uid="{00000000-0010-0000-0300-00000A000000}" name="CapInterrup"/>
    <tableColumn id="11" xr3:uid="{00000000-0010-0000-0300-00000B000000}" name="TipoMec"/>
    <tableColumn id="12" xr3:uid="{00000000-0010-0000-0300-00000C000000}" name="TipoRele"/>
    <tableColumn id="13" xr3:uid="{00000000-0010-0000-0300-00000D000000}" name="AjusteRele"/>
    <tableColumn id="14" xr3:uid="{00000000-0010-0000-0300-00000E000000}" name="CaminhoImagem"/>
    <tableColumn id="15" xr3:uid="{00000000-0010-0000-0300-00000F000000}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1:O3" totalsRowShown="0" headerRowDxfId="4">
  <autoFilter ref="A1:O3" xr:uid="{00000000-0009-0000-0100-000005000000}"/>
  <tableColumns count="15">
    <tableColumn id="1" xr3:uid="{00000000-0010-0000-0400-000001000000}" name="Codigo"/>
    <tableColumn id="2" xr3:uid="{00000000-0010-0000-0400-000002000000}" name="Cliente"/>
    <tableColumn id="3" xr3:uid="{00000000-0010-0000-0400-000003000000}" name="Identificacao"/>
    <tableColumn id="4" xr3:uid="{00000000-0010-0000-0400-000004000000}" name="Fabricante"/>
    <tableColumn id="5" xr3:uid="{00000000-0010-0000-0400-000005000000}" name="Tipo"/>
    <tableColumn id="6" xr3:uid="{00000000-0010-0000-0400-000006000000}" name="AnoDeFabricacao"/>
    <tableColumn id="7" xr3:uid="{00000000-0010-0000-0400-000007000000}" name="Frequencia"/>
    <tableColumn id="8" xr3:uid="{00000000-0010-0000-0400-000008000000}" name="TensaoNominal"/>
    <tableColumn id="9" xr3:uid="{00000000-0010-0000-0400-000009000000}" name="CorrenteNominalDescarga"/>
    <tableColumn id="10" xr3:uid="{00000000-0010-0000-0400-00000A000000}" name="Isolante"/>
    <tableColumn id="11" xr3:uid="{00000000-0010-0000-0400-00000B000000}" name="SerieFaseR"/>
    <tableColumn id="12" xr3:uid="{00000000-0010-0000-0400-00000C000000}" name="SerieFaseS"/>
    <tableColumn id="13" xr3:uid="{00000000-0010-0000-0400-00000D000000}" name="SerieFaseT"/>
    <tableColumn id="14" xr3:uid="{00000000-0010-0000-0400-00000E000000}" name="CaminhoImagem"/>
    <tableColumn id="15" xr3:uid="{00000000-0010-0000-0400-00000F000000}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6" displayName="Tabela6" ref="A1:R3" totalsRowShown="0">
  <autoFilter ref="A1:R3" xr:uid="{00000000-0009-0000-0100-000006000000}"/>
  <tableColumns count="18">
    <tableColumn id="1" xr3:uid="{00000000-0010-0000-0500-000001000000}" name="Codigo"/>
    <tableColumn id="2" xr3:uid="{00000000-0010-0000-0500-000002000000}" name="Cliente"/>
    <tableColumn id="3" xr3:uid="{00000000-0010-0000-0500-000003000000}" name="Identificacao"/>
    <tableColumn id="4" xr3:uid="{00000000-0010-0000-0500-000004000000}" name="Fabricante"/>
    <tableColumn id="5" xr3:uid="{00000000-0010-0000-0500-000005000000}" name="Tipo"/>
    <tableColumn id="6" xr3:uid="{00000000-0010-0000-0500-000006000000}" name="AnoDeFabricacao"/>
    <tableColumn id="7" xr3:uid="{00000000-0010-0000-0500-000007000000}" name="TensaoMaxima"/>
    <tableColumn id="8" xr3:uid="{00000000-0010-0000-0500-000008000000}" name="TensaoPrimaria"/>
    <tableColumn id="9" xr3:uid="{00000000-0010-0000-0500-000009000000}" name="Tensao Secundaria"/>
    <tableColumn id="10" xr3:uid="{00000000-0010-0000-0500-00000A000000}" name="PesoTotal"/>
    <tableColumn id="11" xr3:uid="{00000000-0010-0000-0500-00000B000000}" name="Exatidao"/>
    <tableColumn id="12" xr3:uid="{00000000-0010-0000-0500-00000C000000}" name="Potencia"/>
    <tableColumn id="13" xr3:uid="{00000000-0010-0000-0500-00000D000000}" name="Isolante"/>
    <tableColumn id="14" xr3:uid="{00000000-0010-0000-0500-00000E000000}" name="SerieFaseR"/>
    <tableColumn id="15" xr3:uid="{00000000-0010-0000-0500-00000F000000}" name="SerieFaseS"/>
    <tableColumn id="16" xr3:uid="{00000000-0010-0000-0500-000010000000}" name="SerieFaseT"/>
    <tableColumn id="17" xr3:uid="{00000000-0010-0000-0500-000011000000}" name="CaminhoImagem"/>
    <tableColumn id="18" xr3:uid="{00000000-0010-0000-0500-000012000000}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1:S3" totalsRowShown="0" headerRowDxfId="1">
  <autoFilter ref="A1:S3" xr:uid="{00000000-0009-0000-0100-000007000000}"/>
  <tableColumns count="19">
    <tableColumn id="1" xr3:uid="{00000000-0010-0000-0600-000001000000}" name="Codigo"/>
    <tableColumn id="2" xr3:uid="{00000000-0010-0000-0600-000002000000}" name="Cliente"/>
    <tableColumn id="3" xr3:uid="{00000000-0010-0000-0600-000003000000}" name="Identificacao"/>
    <tableColumn id="4" xr3:uid="{00000000-0010-0000-0600-000004000000}" name="Fabricante"/>
    <tableColumn id="5" xr3:uid="{00000000-0010-0000-0600-000005000000}" name="Tipo"/>
    <tableColumn id="6" xr3:uid="{00000000-0010-0000-0600-000006000000}" name="AnoDeFabricacao"/>
    <tableColumn id="7" xr3:uid="{00000000-0010-0000-0600-000007000000}" name="PesoTotal"/>
    <tableColumn id="8" xr3:uid="{00000000-0010-0000-0600-000008000000}" name="NumSerie"/>
    <tableColumn id="9" xr3:uid="{00000000-0010-0000-0600-000009000000}" name="Potencia"/>
    <tableColumn id="10" xr3:uid="{00000000-0010-0000-0600-00000A000000}" name="Impedancia"/>
    <tableColumn id="11" xr3:uid="{00000000-0010-0000-0600-00000B000000}" name="Isolante"/>
    <tableColumn id="12" xr3:uid="{00000000-0010-0000-0600-00000C000000}" name="VolumeOleo"/>
    <tableColumn id="13" xr3:uid="{00000000-0010-0000-0600-00000D000000}" name="GrupoLigacao"/>
    <tableColumn id="14" xr3:uid="{00000000-0010-0000-0600-00000E000000}" name="TipoTAP"/>
    <tableColumn id="15" xr3:uid="{00000000-0010-0000-0600-00000F000000}" name="FabricanteTAP"/>
    <tableColumn id="16" xr3:uid="{00000000-0010-0000-0600-000010000000}" name="TensoesPrim"/>
    <tableColumn id="17" xr3:uid="{00000000-0010-0000-0600-000011000000}" name="TensoesSec"/>
    <tableColumn id="18" xr3:uid="{00000000-0010-0000-0600-000012000000}" name="CaminhoImagem"/>
    <tableColumn id="19" xr3:uid="{00000000-0010-0000-0600-000013000000}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8"/>
  <dimension ref="C12:M14"/>
  <sheetViews>
    <sheetView workbookViewId="0">
      <selection activeCell="F17" sqref="F17"/>
    </sheetView>
  </sheetViews>
  <sheetFormatPr defaultRowHeight="15" x14ac:dyDescent="0.25"/>
  <cols>
    <col min="4" max="4" width="21.5703125" bestFit="1" customWidth="1"/>
    <col min="13" max="13" width="10.42578125" style="3" bestFit="1" customWidth="1"/>
  </cols>
  <sheetData>
    <row r="12" spans="3:13" x14ac:dyDescent="0.25">
      <c r="C12" s="11" t="s">
        <v>119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</row>
    <row r="13" spans="3:13" x14ac:dyDescent="0.25">
      <c r="C13" s="6" t="s">
        <v>3</v>
      </c>
      <c r="D13" s="7" t="s">
        <v>0</v>
      </c>
      <c r="E13" s="7" t="s">
        <v>4</v>
      </c>
      <c r="F13" s="7" t="s">
        <v>1</v>
      </c>
      <c r="G13" s="7" t="s">
        <v>2</v>
      </c>
      <c r="H13" s="7" t="s">
        <v>16</v>
      </c>
      <c r="I13" s="7" t="s">
        <v>17</v>
      </c>
      <c r="J13" s="8" t="s">
        <v>18</v>
      </c>
      <c r="K13" s="9" t="s">
        <v>19</v>
      </c>
      <c r="L13" s="7" t="s">
        <v>15</v>
      </c>
      <c r="M13" s="10" t="s">
        <v>14</v>
      </c>
    </row>
    <row r="14" spans="3:13" x14ac:dyDescent="0.25">
      <c r="C14">
        <v>69</v>
      </c>
      <c r="D14" t="str">
        <f>IF(C14="","Sem Código",IFERROR(VLOOKUP($C14,CadastroEqCS!$A:$K,2,0),"Produto não Encontrado"))</f>
        <v>Produto não Encontrado</v>
      </c>
      <c r="E14" t="str">
        <f>IFERROR(VLOOKUP($C14,CadastroEqCS!$A:$K,3,0),"")</f>
        <v/>
      </c>
      <c r="F14" t="str">
        <f>IFERROR(VLOOKUP($C14,CadastroEqCS!$A:$K,4,0),"")</f>
        <v/>
      </c>
      <c r="G14" t="str">
        <f>IFERROR(VLOOKUP($C14,CadastroEqCS!$A:$K,5,0),"")</f>
        <v/>
      </c>
      <c r="H14" t="str">
        <f>IFERROR(VLOOKUP($C14,CadastroEqCS!$A:$K,6,0),"")</f>
        <v/>
      </c>
      <c r="I14" t="str">
        <f>IFERROR(VLOOKUP($C14,CadastroEqCS!$A:$K,7,0),"")</f>
        <v/>
      </c>
      <c r="J14" t="str">
        <f>IFERROR(VLOOKUP($C14,CadastroEqCS!$A:$K,8,0),"")</f>
        <v/>
      </c>
      <c r="K14" t="str">
        <f>IFERROR(VLOOKUP($C14,CadastroEqCS!$A:$K,9,0),"")</f>
        <v/>
      </c>
      <c r="L14" t="str">
        <f>IFERROR(VLOOKUP($C14,CadastroEqCS!$A:$K,10,0),"")</f>
        <v/>
      </c>
      <c r="M14" s="3" t="str">
        <f>IFERROR(VLOOKUP($C14,CadastroEqCS!$A:$K,11,0),"")</f>
        <v/>
      </c>
    </row>
  </sheetData>
  <mergeCells count="1">
    <mergeCell ref="C12:M1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E13"/>
  <sheetViews>
    <sheetView tabSelected="1" workbookViewId="0">
      <selection activeCell="C21" sqref="C21"/>
    </sheetView>
  </sheetViews>
  <sheetFormatPr defaultRowHeight="15" x14ac:dyDescent="0.25"/>
  <cols>
    <col min="1" max="1" width="9.28515625" style="4" customWidth="1"/>
    <col min="2" max="2" width="26" style="2" bestFit="1" customWidth="1"/>
    <col min="3" max="3" width="27.42578125" style="2" bestFit="1" customWidth="1"/>
    <col min="4" max="4" width="17.5703125" style="2" bestFit="1" customWidth="1"/>
    <col min="5" max="5" width="14.85546875" style="3" customWidth="1"/>
  </cols>
  <sheetData>
    <row r="1" spans="1:5" x14ac:dyDescent="0.25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</row>
    <row r="2" spans="1:5" x14ac:dyDescent="0.25">
      <c r="A2" s="4">
        <v>1</v>
      </c>
      <c r="B2" s="2" t="s">
        <v>51</v>
      </c>
      <c r="C2" s="2" t="s">
        <v>47</v>
      </c>
      <c r="D2" s="2" t="s">
        <v>42</v>
      </c>
      <c r="E2" s="3">
        <v>45003</v>
      </c>
    </row>
    <row r="3" spans="1:5" x14ac:dyDescent="0.25">
      <c r="A3" s="4">
        <v>2</v>
      </c>
      <c r="B3" s="2" t="s">
        <v>51</v>
      </c>
      <c r="C3" s="2" t="s">
        <v>87</v>
      </c>
      <c r="D3" s="2" t="s">
        <v>42</v>
      </c>
      <c r="E3" s="3">
        <v>45003</v>
      </c>
    </row>
    <row r="4" spans="1:5" x14ac:dyDescent="0.25">
      <c r="A4" s="4">
        <v>3</v>
      </c>
      <c r="B4" s="2" t="s">
        <v>56</v>
      </c>
      <c r="C4" s="2" t="s">
        <v>47</v>
      </c>
      <c r="D4" s="2" t="s">
        <v>42</v>
      </c>
      <c r="E4" s="3">
        <v>45003</v>
      </c>
    </row>
    <row r="5" spans="1:5" x14ac:dyDescent="0.25">
      <c r="A5" s="4">
        <v>4</v>
      </c>
      <c r="B5" s="2" t="s">
        <v>62</v>
      </c>
      <c r="C5" s="2" t="s">
        <v>47</v>
      </c>
      <c r="D5" s="2" t="s">
        <v>68</v>
      </c>
      <c r="E5" s="3">
        <v>45003</v>
      </c>
    </row>
    <row r="6" spans="1:5" x14ac:dyDescent="0.25">
      <c r="A6" s="4">
        <v>5</v>
      </c>
      <c r="B6" s="2" t="s">
        <v>62</v>
      </c>
      <c r="C6" s="2" t="s">
        <v>102</v>
      </c>
      <c r="D6" s="2" t="s">
        <v>68</v>
      </c>
      <c r="E6" s="3">
        <v>45003</v>
      </c>
    </row>
    <row r="7" spans="1:5" x14ac:dyDescent="0.25">
      <c r="A7" s="4">
        <v>6</v>
      </c>
      <c r="B7" s="2" t="s">
        <v>67</v>
      </c>
      <c r="C7" s="2" t="s">
        <v>108</v>
      </c>
      <c r="D7" s="2" t="s">
        <v>68</v>
      </c>
      <c r="E7" s="3">
        <v>45003</v>
      </c>
    </row>
    <row r="8" spans="1:5" x14ac:dyDescent="0.25">
      <c r="A8" s="4">
        <v>7</v>
      </c>
      <c r="B8" s="2" t="s">
        <v>41</v>
      </c>
      <c r="C8" s="2" t="s">
        <v>112</v>
      </c>
      <c r="D8" s="2" t="s">
        <v>42</v>
      </c>
      <c r="E8" s="3">
        <v>45003</v>
      </c>
    </row>
    <row r="9" spans="1:5" x14ac:dyDescent="0.25">
      <c r="A9" s="4">
        <v>8</v>
      </c>
      <c r="B9" s="2" t="s">
        <v>41</v>
      </c>
      <c r="C9" s="2" t="s">
        <v>87</v>
      </c>
      <c r="D9" s="2" t="s">
        <v>68</v>
      </c>
      <c r="E9" s="3">
        <v>45003</v>
      </c>
    </row>
    <row r="10" spans="1:5" x14ac:dyDescent="0.25">
      <c r="A10" s="4">
        <v>9</v>
      </c>
      <c r="B10" s="2" t="s">
        <v>76</v>
      </c>
      <c r="C10" s="2" t="s">
        <v>116</v>
      </c>
      <c r="D10" s="2" t="s">
        <v>42</v>
      </c>
      <c r="E10" s="3">
        <v>45003</v>
      </c>
    </row>
    <row r="11" spans="1:5" x14ac:dyDescent="0.25">
      <c r="A11" s="4">
        <v>10</v>
      </c>
      <c r="B11" s="2" t="s">
        <v>41</v>
      </c>
      <c r="C11" s="2" t="s">
        <v>118</v>
      </c>
      <c r="D11" s="2" t="s">
        <v>68</v>
      </c>
      <c r="E11" s="3">
        <v>45003</v>
      </c>
    </row>
    <row r="12" spans="1:5" x14ac:dyDescent="0.25">
      <c r="A12" s="4">
        <v>11</v>
      </c>
      <c r="B12" s="2" t="s">
        <v>67</v>
      </c>
      <c r="C12" s="2" t="s">
        <v>120</v>
      </c>
      <c r="D12" s="2" t="s">
        <v>68</v>
      </c>
      <c r="E12" s="3">
        <v>45007</v>
      </c>
    </row>
    <row r="13" spans="1:5" x14ac:dyDescent="0.25">
      <c r="A13" s="4">
        <v>12</v>
      </c>
      <c r="B13" s="2" t="s">
        <v>41</v>
      </c>
      <c r="C13" s="2" t="s">
        <v>126</v>
      </c>
      <c r="D13" s="2" t="s">
        <v>68</v>
      </c>
      <c r="E13" s="3">
        <v>45007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R2"/>
  <sheetViews>
    <sheetView workbookViewId="0">
      <selection activeCell="C10" sqref="C10"/>
    </sheetView>
  </sheetViews>
  <sheetFormatPr defaultRowHeight="15" x14ac:dyDescent="0.25"/>
  <cols>
    <col min="1" max="1" width="8.5703125" style="4" customWidth="1"/>
    <col min="2" max="2" width="11" style="2" bestFit="1" customWidth="1"/>
    <col min="3" max="3" width="19" style="2" bestFit="1" customWidth="1"/>
    <col min="4" max="4" width="11.5703125" style="2" customWidth="1"/>
    <col min="5" max="5" width="6.42578125" style="2" customWidth="1"/>
    <col min="6" max="6" width="17.42578125" style="4" customWidth="1"/>
    <col min="7" max="7" width="6.85546875" style="2" bestFit="1" customWidth="1"/>
    <col min="8" max="8" width="14" style="1" customWidth="1"/>
    <col min="9" max="9" width="16.7109375" style="5" bestFit="1" customWidth="1"/>
    <col min="10" max="10" width="13.28515625" style="1" bestFit="1" customWidth="1"/>
    <col min="11" max="11" width="10.140625" style="1" customWidth="1"/>
    <col min="12" max="12" width="9.28515625" style="2" customWidth="1"/>
    <col min="13" max="13" width="20.42578125" style="2" bestFit="1" customWidth="1"/>
    <col min="14" max="14" width="11.7109375" style="2" customWidth="1"/>
    <col min="15" max="16" width="11.5703125" style="2" customWidth="1"/>
    <col min="17" max="17" width="121.85546875" style="2" bestFit="1" customWidth="1"/>
    <col min="18" max="18" width="14.42578125" style="3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25">
      <c r="A2" s="4">
        <v>3</v>
      </c>
      <c r="B2" s="2" t="s">
        <v>47</v>
      </c>
      <c r="C2" s="2" t="s">
        <v>42</v>
      </c>
      <c r="D2" s="2" t="s">
        <v>57</v>
      </c>
      <c r="E2" s="2" t="s">
        <v>94</v>
      </c>
      <c r="F2" s="4">
        <v>1997</v>
      </c>
      <c r="G2" s="2" t="s">
        <v>58</v>
      </c>
      <c r="H2" s="1" t="s">
        <v>59</v>
      </c>
      <c r="I2" s="5">
        <v>15</v>
      </c>
      <c r="J2" s="1">
        <v>10</v>
      </c>
      <c r="K2" s="1" t="s">
        <v>95</v>
      </c>
      <c r="L2" s="2" t="s">
        <v>60</v>
      </c>
      <c r="M2" s="2" t="s">
        <v>54</v>
      </c>
      <c r="N2" s="2" t="s">
        <v>96</v>
      </c>
      <c r="O2" s="2" t="s">
        <v>97</v>
      </c>
      <c r="P2" s="2" t="s">
        <v>98</v>
      </c>
      <c r="Q2" s="2" t="s">
        <v>61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K5"/>
  <sheetViews>
    <sheetView workbookViewId="0">
      <selection activeCell="G22" sqref="G2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6.85546875" customWidth="1"/>
    <col min="7" max="7" width="41.28515625" bestFit="1" customWidth="1"/>
    <col min="8" max="8" width="17.28515625" style="4" customWidth="1"/>
    <col min="9" max="9" width="15.85546875" style="5" customWidth="1"/>
    <col min="10" max="10" width="17" customWidth="1"/>
    <col min="11" max="11" width="14.42578125" customWidth="1"/>
  </cols>
  <sheetData>
    <row r="1" spans="1:11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25">
      <c r="A2">
        <v>7</v>
      </c>
      <c r="B2" t="s">
        <v>112</v>
      </c>
      <c r="C2" t="s">
        <v>42</v>
      </c>
      <c r="D2" t="s">
        <v>43</v>
      </c>
      <c r="E2" t="s">
        <v>44</v>
      </c>
      <c r="F2" t="s">
        <v>113</v>
      </c>
      <c r="G2" t="s">
        <v>45</v>
      </c>
      <c r="H2" s="4">
        <v>400</v>
      </c>
      <c r="I2" s="5">
        <v>15</v>
      </c>
      <c r="J2" t="s">
        <v>46</v>
      </c>
      <c r="K2" s="3">
        <v>45003</v>
      </c>
    </row>
    <row r="3" spans="1:11" x14ac:dyDescent="0.25">
      <c r="A3">
        <v>8</v>
      </c>
      <c r="B3" t="s">
        <v>87</v>
      </c>
      <c r="C3" t="s">
        <v>68</v>
      </c>
      <c r="D3" t="s">
        <v>48</v>
      </c>
      <c r="E3" t="s">
        <v>49</v>
      </c>
      <c r="F3" t="s">
        <v>114</v>
      </c>
      <c r="G3" t="s">
        <v>50</v>
      </c>
      <c r="H3" s="4">
        <v>630</v>
      </c>
      <c r="I3" s="5">
        <v>17.5</v>
      </c>
      <c r="J3" t="s">
        <v>46</v>
      </c>
      <c r="K3" s="3">
        <v>45003</v>
      </c>
    </row>
    <row r="4" spans="1:11" x14ac:dyDescent="0.25">
      <c r="A4">
        <v>10</v>
      </c>
      <c r="B4" t="s">
        <v>118</v>
      </c>
      <c r="C4" t="s">
        <v>68</v>
      </c>
      <c r="D4" t="s">
        <v>48</v>
      </c>
      <c r="E4" t="s">
        <v>49</v>
      </c>
      <c r="F4">
        <v>25677</v>
      </c>
      <c r="G4" t="s">
        <v>50</v>
      </c>
      <c r="H4" s="4">
        <v>400</v>
      </c>
      <c r="I4" s="5">
        <v>15</v>
      </c>
      <c r="J4" t="s">
        <v>46</v>
      </c>
      <c r="K4" s="3">
        <v>45003</v>
      </c>
    </row>
    <row r="5" spans="1:11" x14ac:dyDescent="0.25">
      <c r="A5">
        <v>12</v>
      </c>
      <c r="B5" t="s">
        <v>126</v>
      </c>
      <c r="C5" t="s">
        <v>68</v>
      </c>
      <c r="D5" t="s">
        <v>48</v>
      </c>
      <c r="E5" t="s">
        <v>49</v>
      </c>
      <c r="F5" t="s">
        <v>80</v>
      </c>
      <c r="G5" t="s">
        <v>45</v>
      </c>
      <c r="H5" s="4">
        <v>400</v>
      </c>
      <c r="I5" s="5">
        <v>15</v>
      </c>
      <c r="K5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O2"/>
  <sheetViews>
    <sheetView workbookViewId="0">
      <selection sqref="A1:O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0.85546875" customWidth="1"/>
    <col min="8" max="8" width="17.28515625" customWidth="1"/>
    <col min="9" max="9" width="15.85546875" customWidth="1"/>
    <col min="10" max="10" width="13" customWidth="1"/>
    <col min="11" max="12" width="10" customWidth="1"/>
    <col min="13" max="13" width="11.7109375" customWidth="1"/>
    <col min="14" max="14" width="17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25">
      <c r="A2">
        <v>9</v>
      </c>
      <c r="B2" t="s">
        <v>116</v>
      </c>
      <c r="C2" t="s">
        <v>42</v>
      </c>
      <c r="D2" t="s">
        <v>48</v>
      </c>
      <c r="E2" t="s">
        <v>77</v>
      </c>
      <c r="F2">
        <v>2009</v>
      </c>
      <c r="G2" t="s">
        <v>117</v>
      </c>
      <c r="H2">
        <v>630</v>
      </c>
      <c r="I2" t="s">
        <v>115</v>
      </c>
      <c r="J2">
        <v>45</v>
      </c>
      <c r="K2" t="s">
        <v>78</v>
      </c>
      <c r="L2" t="s">
        <v>79</v>
      </c>
      <c r="M2" t="s">
        <v>80</v>
      </c>
      <c r="N2" t="s">
        <v>81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O3"/>
  <sheetViews>
    <sheetView workbookViewId="0">
      <selection activeCell="D22" sqref="D2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2" customWidth="1"/>
    <col min="8" max="8" width="15.85546875" customWidth="1"/>
    <col min="9" max="9" width="24.85546875" customWidth="1"/>
    <col min="10" max="10" width="9.5703125" customWidth="1"/>
    <col min="11" max="11" width="11.7109375" customWidth="1"/>
    <col min="12" max="13" width="11.5703125" customWidth="1"/>
    <col min="14" max="14" width="86.28515625" bestFit="1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25">
      <c r="A2">
        <v>4</v>
      </c>
      <c r="B2" t="s">
        <v>47</v>
      </c>
      <c r="C2" t="s">
        <v>68</v>
      </c>
      <c r="D2" t="s">
        <v>63</v>
      </c>
      <c r="E2" t="s">
        <v>64</v>
      </c>
      <c r="F2">
        <v>2009</v>
      </c>
      <c r="G2">
        <v>60</v>
      </c>
      <c r="H2">
        <v>12</v>
      </c>
      <c r="I2">
        <v>10</v>
      </c>
      <c r="J2" t="s">
        <v>65</v>
      </c>
      <c r="K2" t="s">
        <v>99</v>
      </c>
      <c r="L2" t="s">
        <v>100</v>
      </c>
      <c r="M2" t="s">
        <v>101</v>
      </c>
      <c r="N2" t="s">
        <v>66</v>
      </c>
      <c r="O2" s="3">
        <v>45003</v>
      </c>
    </row>
    <row r="3" spans="1:15" x14ac:dyDescent="0.25">
      <c r="A3">
        <v>5</v>
      </c>
      <c r="B3" t="s">
        <v>102</v>
      </c>
      <c r="C3" t="s">
        <v>68</v>
      </c>
      <c r="D3" t="s">
        <v>103</v>
      </c>
      <c r="E3" t="s">
        <v>104</v>
      </c>
      <c r="F3">
        <v>1980</v>
      </c>
      <c r="G3">
        <v>60</v>
      </c>
      <c r="H3">
        <v>12</v>
      </c>
      <c r="I3">
        <v>10</v>
      </c>
      <c r="J3" t="s">
        <v>105</v>
      </c>
      <c r="K3" t="s">
        <v>106</v>
      </c>
      <c r="L3" t="s">
        <v>106</v>
      </c>
      <c r="M3" t="s">
        <v>106</v>
      </c>
      <c r="N3" t="s">
        <v>107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R3"/>
  <sheetViews>
    <sheetView workbookViewId="0">
      <selection activeCell="C15" sqref="C15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5.5703125" customWidth="1"/>
    <col min="8" max="8" width="15.85546875" customWidth="1"/>
    <col min="9" max="9" width="18.42578125" customWidth="1"/>
    <col min="10" max="10" width="11.140625" customWidth="1"/>
    <col min="11" max="12" width="10.140625" customWidth="1"/>
    <col min="13" max="13" width="9.5703125" customWidth="1"/>
    <col min="14" max="14" width="11.7109375" customWidth="1"/>
    <col min="15" max="16" width="11.5703125" customWidth="1"/>
    <col min="17" max="17" width="17" customWidth="1"/>
    <col min="18" max="18" width="14.42578125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25">
      <c r="A2">
        <v>1</v>
      </c>
      <c r="B2" t="s">
        <v>47</v>
      </c>
      <c r="C2" t="s">
        <v>42</v>
      </c>
      <c r="D2" t="s">
        <v>57</v>
      </c>
      <c r="E2" t="s">
        <v>82</v>
      </c>
      <c r="F2">
        <v>2000</v>
      </c>
      <c r="G2">
        <v>15</v>
      </c>
      <c r="H2" t="s">
        <v>53</v>
      </c>
      <c r="I2">
        <v>220</v>
      </c>
      <c r="J2">
        <v>20</v>
      </c>
      <c r="K2" t="s">
        <v>83</v>
      </c>
      <c r="L2">
        <v>500</v>
      </c>
      <c r="M2" t="s">
        <v>54</v>
      </c>
      <c r="N2" t="s">
        <v>84</v>
      </c>
      <c r="O2" t="s">
        <v>85</v>
      </c>
      <c r="P2" t="s">
        <v>86</v>
      </c>
      <c r="Q2" t="s">
        <v>55</v>
      </c>
      <c r="R2" s="3">
        <v>45003</v>
      </c>
    </row>
    <row r="3" spans="1:18" x14ac:dyDescent="0.25">
      <c r="A3">
        <v>2</v>
      </c>
      <c r="B3" t="s">
        <v>87</v>
      </c>
      <c r="C3" t="s">
        <v>42</v>
      </c>
      <c r="D3" t="s">
        <v>52</v>
      </c>
      <c r="E3" t="s">
        <v>88</v>
      </c>
      <c r="F3">
        <v>2010</v>
      </c>
      <c r="G3">
        <v>15</v>
      </c>
      <c r="H3" t="s">
        <v>89</v>
      </c>
      <c r="I3">
        <v>220</v>
      </c>
      <c r="J3">
        <v>35</v>
      </c>
      <c r="K3" t="s">
        <v>90</v>
      </c>
      <c r="L3">
        <v>1000</v>
      </c>
      <c r="M3" t="s">
        <v>54</v>
      </c>
      <c r="N3" t="s">
        <v>91</v>
      </c>
      <c r="O3" t="s">
        <v>92</v>
      </c>
      <c r="P3" t="s">
        <v>93</v>
      </c>
      <c r="Q3" t="s">
        <v>55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A1:S3"/>
  <sheetViews>
    <sheetView workbookViewId="0">
      <selection activeCell="B3" sqref="B3"/>
    </sheetView>
  </sheetViews>
  <sheetFormatPr defaultRowHeight="15" x14ac:dyDescent="0.25"/>
  <cols>
    <col min="1" max="1" width="8.5703125" customWidth="1"/>
    <col min="2" max="2" width="12.140625" bestFit="1" customWidth="1"/>
    <col min="3" max="3" width="36" bestFit="1" customWidth="1"/>
    <col min="4" max="4" width="11.5703125" customWidth="1"/>
    <col min="5" max="5" width="7.42578125" bestFit="1" customWidth="1"/>
    <col min="6" max="6" width="17.42578125" customWidth="1"/>
    <col min="7" max="7" width="11.140625" customWidth="1"/>
    <col min="8" max="8" width="10.85546875" customWidth="1"/>
    <col min="9" max="9" width="10.140625" customWidth="1"/>
    <col min="10" max="10" width="12.5703125" customWidth="1"/>
    <col min="11" max="11" width="12.5703125" bestFit="1" customWidth="1"/>
    <col min="12" max="12" width="13.140625" customWidth="1"/>
    <col min="13" max="13" width="14.140625" customWidth="1"/>
    <col min="14" max="14" width="15.5703125" bestFit="1" customWidth="1"/>
    <col min="15" max="15" width="14.85546875" customWidth="1"/>
    <col min="16" max="16" width="22.7109375" bestFit="1" customWidth="1"/>
    <col min="17" max="17" width="12.42578125" customWidth="1"/>
    <col min="18" max="18" width="98.5703125" bestFit="1" customWidth="1"/>
    <col min="19" max="19" width="14.42578125" customWidth="1"/>
  </cols>
  <sheetData>
    <row r="1" spans="1:19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25">
      <c r="A2">
        <v>6</v>
      </c>
      <c r="B2" t="s">
        <v>108</v>
      </c>
      <c r="C2" t="s">
        <v>68</v>
      </c>
      <c r="D2" t="s">
        <v>69</v>
      </c>
      <c r="E2" t="s">
        <v>109</v>
      </c>
      <c r="F2">
        <v>1999</v>
      </c>
      <c r="G2">
        <v>2000</v>
      </c>
      <c r="H2" t="s">
        <v>110</v>
      </c>
      <c r="I2">
        <v>500</v>
      </c>
      <c r="J2" t="s">
        <v>70</v>
      </c>
      <c r="K2" t="s">
        <v>71</v>
      </c>
      <c r="L2">
        <v>700</v>
      </c>
      <c r="M2" t="s">
        <v>72</v>
      </c>
      <c r="N2" t="s">
        <v>73</v>
      </c>
      <c r="O2" t="s">
        <v>69</v>
      </c>
      <c r="P2" t="s">
        <v>111</v>
      </c>
      <c r="Q2" t="s">
        <v>74</v>
      </c>
      <c r="R2" t="s">
        <v>75</v>
      </c>
      <c r="S2" s="3">
        <v>45003</v>
      </c>
    </row>
    <row r="3" spans="1:19" x14ac:dyDescent="0.25">
      <c r="A3">
        <v>11</v>
      </c>
      <c r="B3" t="s">
        <v>120</v>
      </c>
      <c r="C3" t="s">
        <v>68</v>
      </c>
      <c r="D3" t="s">
        <v>121</v>
      </c>
      <c r="E3" t="s">
        <v>122</v>
      </c>
      <c r="F3">
        <v>2013</v>
      </c>
      <c r="G3">
        <v>4000</v>
      </c>
      <c r="H3">
        <v>259</v>
      </c>
      <c r="I3">
        <v>2000</v>
      </c>
      <c r="J3" t="s">
        <v>123</v>
      </c>
      <c r="K3" t="s">
        <v>54</v>
      </c>
      <c r="L3" t="s">
        <v>80</v>
      </c>
      <c r="M3" t="s">
        <v>72</v>
      </c>
      <c r="N3" t="s">
        <v>124</v>
      </c>
      <c r="O3" t="s">
        <v>121</v>
      </c>
      <c r="P3" t="s">
        <v>53</v>
      </c>
      <c r="Q3">
        <v>220</v>
      </c>
      <c r="R3" t="s">
        <v>125</v>
      </c>
      <c r="S3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Planilha1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HP I5</cp:lastModifiedBy>
  <dcterms:created xsi:type="dcterms:W3CDTF">2015-06-05T18:19:34Z</dcterms:created>
  <dcterms:modified xsi:type="dcterms:W3CDTF">2023-04-03T20:59:43Z</dcterms:modified>
</cp:coreProperties>
</file>