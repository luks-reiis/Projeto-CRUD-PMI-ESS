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exandre\Desktop\"/>
    </mc:Choice>
  </mc:AlternateContent>
  <xr:revisionPtr revIDLastSave="0" documentId="13_ncr:1_{2AE9CCDC-132E-43DF-A3DE-98C704F635ED}" xr6:coauthVersionLast="47" xr6:coauthVersionMax="47" xr10:uidLastSave="{00000000-0000-0000-0000-000000000000}"/>
  <bookViews>
    <workbookView minimized="1" xWindow="7680" yWindow="0" windowWidth="7680" windowHeight="6180" firstSheet="1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<sst xmlns="http://schemas.openxmlformats.org/spreadsheetml/2006/main" count="372" uniqueCount="143">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</sst>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workbookViewId="0">
      <selection activeCell="D22" sqref="D22"/>
    </sheetView>
  </sheetViews>
  <sheetFormatPr defaultRowHeight="14.4" x14ac:dyDescent="0.3"/>
  <cols>
    <col min="2" max="2" width="21.5546875" bestFit="1" customWidth="1"/>
    <col min="4" max="4" width="21.5546875" bestFit="1" customWidth="1"/>
    <col min="5" max="5" width="10.44140625" bestFit="1" customWidth="1"/>
    <col min="11" max="11" width="10.44140625" customWidth="1"/>
    <col min="12" max="12" width="10.44140625" bestFit="1" customWidth="1"/>
    <col min="13" max="13" width="10.44140625" style="3" bestFit="1" customWidth="1"/>
    <col min="14" max="14" width="12.88671875" customWidth="1"/>
    <col min="15" max="15" width="10.44140625" bestFit="1" customWidth="1"/>
    <col min="18" max="19" width="10.44140625" bestFit="1" customWidth="1"/>
  </cols>
  <sheetData>
    <row r="1" spans="1:18" s="19" customFormat="1" ht="15" thickBot="1" x14ac:dyDescent="0.35">
      <c r="A1" s="28" t="s">
        <v>136</v>
      </c>
      <c r="B1" s="29"/>
      <c r="C1" s="29"/>
      <c r="D1" s="29"/>
      <c r="E1" s="29"/>
      <c r="F1" s="18"/>
      <c r="G1" s="18"/>
      <c r="H1" s="18"/>
      <c r="I1" s="18"/>
      <c r="J1" s="18"/>
      <c r="K1" s="18"/>
      <c r="M1" s="20"/>
    </row>
    <row r="2" spans="1:18" x14ac:dyDescent="0.3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" thickBot="1" x14ac:dyDescent="0.35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3">
      <c r="A4" s="26" t="s">
        <v>137</v>
      </c>
      <c r="B4" s="27"/>
      <c r="C4" s="27"/>
      <c r="D4" s="27"/>
      <c r="E4" s="27"/>
      <c r="F4" s="27"/>
      <c r="G4" s="27"/>
      <c r="H4" s="27"/>
      <c r="I4" s="27"/>
      <c r="J4" s="27"/>
      <c r="K4" s="27"/>
      <c r="M4" s="20"/>
    </row>
    <row r="5" spans="1:18" x14ac:dyDescent="0.3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" thickBot="1" x14ac:dyDescent="0.35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3">
      <c r="A7" s="30" t="s">
        <v>112</v>
      </c>
      <c r="B7" s="30"/>
      <c r="C7" s="30"/>
      <c r="D7" s="30"/>
      <c r="E7" s="30"/>
      <c r="F7" s="30"/>
      <c r="G7" s="30"/>
      <c r="H7" s="30"/>
      <c r="I7" s="30"/>
      <c r="J7" s="30"/>
      <c r="K7" s="30"/>
    </row>
    <row r="8" spans="1:18" x14ac:dyDescent="0.3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35">
      <c r="A9">
        <v>10</v>
      </c>
      <c r="B9" t="str">
        <f>IF(A9="","Sem Código",IFERROR(VLOOKUP($A9,CadastroEqCS!$A:$K,2,0),"Produto não Encontrado"))</f>
        <v>FastPlas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3">
      <c r="A10" s="26" t="s">
        <v>138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M10" s="20"/>
    </row>
    <row r="11" spans="1:18" x14ac:dyDescent="0.3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" thickBot="1" x14ac:dyDescent="0.35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3">
      <c r="A13" s="30" t="s">
        <v>139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</row>
    <row r="14" spans="1:18" x14ac:dyDescent="0.3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35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3">
      <c r="A16" s="26" t="s">
        <v>140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M16" s="20"/>
    </row>
    <row r="17" spans="1:19" x14ac:dyDescent="0.3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" thickBot="1" x14ac:dyDescent="0.35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3">
      <c r="A19" s="26" t="s">
        <v>141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M19" s="20"/>
    </row>
    <row r="20" spans="1:19" x14ac:dyDescent="0.3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" thickBot="1" x14ac:dyDescent="0.35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5">
        <f>IFERROR(VLOOKUP($A21,CadastroEqTRAFO!$A:$S,18,0),"")</f>
        <v>0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tabSelected="1" workbookViewId="0">
      <selection activeCell="C17" sqref="C17"/>
    </sheetView>
  </sheetViews>
  <sheetFormatPr defaultRowHeight="14.4" x14ac:dyDescent="0.3"/>
  <cols>
    <col min="1" max="1" width="9.33203125" style="4" customWidth="1"/>
    <col min="2" max="2" width="26" style="2" bestFit="1" customWidth="1"/>
    <col min="3" max="3" width="27.44140625" style="2" bestFit="1" customWidth="1"/>
    <col min="4" max="4" width="17.5546875" style="2" bestFit="1" customWidth="1"/>
    <col min="5" max="5" width="14.88671875" style="3" customWidth="1"/>
    <col min="6" max="6" width="65.6640625" bestFit="1" customWidth="1"/>
  </cols>
  <sheetData>
    <row r="1" spans="1:7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119</v>
      </c>
      <c r="G1" s="2" t="s">
        <v>120</v>
      </c>
    </row>
    <row r="2" spans="1:7" x14ac:dyDescent="0.3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121</v>
      </c>
    </row>
    <row r="3" spans="1:7" x14ac:dyDescent="0.3">
      <c r="A3" s="4">
        <v>2</v>
      </c>
      <c r="B3" s="2" t="s">
        <v>50</v>
      </c>
      <c r="C3" s="2" t="s">
        <v>81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122</v>
      </c>
    </row>
    <row r="4" spans="1:7" x14ac:dyDescent="0.3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123</v>
      </c>
    </row>
    <row r="5" spans="1:7" x14ac:dyDescent="0.3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124</v>
      </c>
    </row>
    <row r="6" spans="1:7" x14ac:dyDescent="0.3">
      <c r="A6" s="4">
        <v>5</v>
      </c>
      <c r="B6" s="2" t="s">
        <v>59</v>
      </c>
      <c r="C6" s="2" t="s">
        <v>96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125</v>
      </c>
    </row>
    <row r="7" spans="1:7" x14ac:dyDescent="0.3">
      <c r="A7" s="4">
        <v>6</v>
      </c>
      <c r="B7" s="2" t="s">
        <v>63</v>
      </c>
      <c r="C7" s="2" t="s">
        <v>101</v>
      </c>
      <c r="D7" s="2" t="s">
        <v>64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126</v>
      </c>
    </row>
    <row r="8" spans="1:7" x14ac:dyDescent="0.3">
      <c r="A8" s="4">
        <v>7</v>
      </c>
      <c r="B8" s="2" t="s">
        <v>41</v>
      </c>
      <c r="C8" s="2" t="s">
        <v>105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127</v>
      </c>
    </row>
    <row r="9" spans="1:7" x14ac:dyDescent="0.3">
      <c r="A9" s="4">
        <v>8</v>
      </c>
      <c r="B9" s="2" t="s">
        <v>41</v>
      </c>
      <c r="C9" s="2" t="s">
        <v>81</v>
      </c>
      <c r="D9" s="2" t="s">
        <v>64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128</v>
      </c>
    </row>
    <row r="10" spans="1:7" x14ac:dyDescent="0.3">
      <c r="A10" s="4">
        <v>9</v>
      </c>
      <c r="B10" s="2" t="s">
        <v>71</v>
      </c>
      <c r="C10" s="2" t="s">
        <v>109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129</v>
      </c>
    </row>
    <row r="11" spans="1:7" x14ac:dyDescent="0.3">
      <c r="A11" s="4">
        <v>10</v>
      </c>
      <c r="B11" s="2" t="s">
        <v>41</v>
      </c>
      <c r="C11" s="2" t="s">
        <v>111</v>
      </c>
      <c r="D11" s="2" t="s">
        <v>64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130</v>
      </c>
    </row>
    <row r="12" spans="1:7" x14ac:dyDescent="0.3">
      <c r="A12" s="4">
        <v>11</v>
      </c>
      <c r="B12" s="2" t="s">
        <v>63</v>
      </c>
      <c r="C12" s="2" t="s">
        <v>113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131</v>
      </c>
    </row>
    <row r="13" spans="1:7" x14ac:dyDescent="0.3">
      <c r="A13" s="4">
        <v>12</v>
      </c>
      <c r="B13" s="2" t="s">
        <v>41</v>
      </c>
      <c r="C13" s="2" t="s">
        <v>118</v>
      </c>
      <c r="D13" s="2" t="s">
        <v>64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132</v>
      </c>
    </row>
    <row r="14" spans="1:7" x14ac:dyDescent="0.3">
      <c r="A14" s="4">
        <v>13</v>
      </c>
      <c r="B14" s="2" t="s">
        <v>41</v>
      </c>
      <c r="C14" s="2" t="s">
        <v>133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Q1" sqref="Q1:Q1048576"/>
    </sheetView>
  </sheetViews>
  <sheetFormatPr defaultRowHeight="14.4" x14ac:dyDescent="0.3"/>
  <cols>
    <col min="1" max="1" width="8.5546875" style="4" customWidth="1"/>
    <col min="2" max="2" width="11" style="2" bestFit="1" customWidth="1"/>
    <col min="3" max="3" width="19" style="2" bestFit="1" customWidth="1"/>
    <col min="4" max="4" width="11.5546875" style="2" customWidth="1"/>
    <col min="5" max="5" width="6.44140625" style="2" customWidth="1"/>
    <col min="6" max="6" width="17.44140625" style="4" customWidth="1"/>
    <col min="7" max="7" width="6.88671875" style="2" bestFit="1" customWidth="1"/>
    <col min="8" max="8" width="14" style="1" customWidth="1"/>
    <col min="9" max="9" width="16.6640625" style="5" bestFit="1" customWidth="1"/>
    <col min="10" max="10" width="13.33203125" style="1" bestFit="1" customWidth="1"/>
    <col min="11" max="11" width="10.109375" style="1" customWidth="1"/>
    <col min="12" max="12" width="9.33203125" style="2" customWidth="1"/>
    <col min="13" max="13" width="20.44140625" style="2" bestFit="1" customWidth="1"/>
    <col min="14" max="14" width="11.6640625" style="2" customWidth="1"/>
    <col min="15" max="16" width="11.5546875" style="2" customWidth="1"/>
    <col min="17" max="17" width="121.88671875" style="2" bestFit="1" customWidth="1"/>
    <col min="18" max="18" width="14.44140625" style="3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">
      <c r="A2" s="4">
        <v>3</v>
      </c>
      <c r="B2" s="2" t="s">
        <v>46</v>
      </c>
      <c r="C2" s="2" t="s">
        <v>42</v>
      </c>
      <c r="D2" s="2" t="s">
        <v>55</v>
      </c>
      <c r="E2" s="2" t="s">
        <v>88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89</v>
      </c>
      <c r="L2" s="2" t="s">
        <v>58</v>
      </c>
      <c r="M2" s="2" t="s">
        <v>53</v>
      </c>
      <c r="N2" s="2" t="s">
        <v>90</v>
      </c>
      <c r="O2" s="2" t="s">
        <v>91</v>
      </c>
      <c r="P2" s="2" t="s">
        <v>92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J1" sqref="J1:J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6.88671875" customWidth="1"/>
    <col min="7" max="7" width="41.33203125" bestFit="1" customWidth="1"/>
    <col min="8" max="8" width="17.33203125" style="4" customWidth="1"/>
    <col min="9" max="9" width="15.88671875" style="5" customWidth="1"/>
    <col min="10" max="10" width="17" customWidth="1"/>
    <col min="11" max="11" width="14.44140625" customWidth="1"/>
  </cols>
  <sheetData>
    <row r="1" spans="1:11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">
      <c r="A2">
        <v>7</v>
      </c>
      <c r="B2" t="s">
        <v>105</v>
      </c>
      <c r="C2" t="s">
        <v>42</v>
      </c>
      <c r="D2" t="s">
        <v>43</v>
      </c>
      <c r="E2" t="s">
        <v>44</v>
      </c>
      <c r="F2" t="s">
        <v>106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3">
      <c r="A3">
        <v>8</v>
      </c>
      <c r="B3" t="s">
        <v>81</v>
      </c>
      <c r="C3" t="s">
        <v>64</v>
      </c>
      <c r="D3" t="s">
        <v>47</v>
      </c>
      <c r="E3" t="s">
        <v>48</v>
      </c>
      <c r="F3" t="s">
        <v>107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3">
      <c r="A4">
        <v>10</v>
      </c>
      <c r="B4" t="s">
        <v>111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3">
      <c r="A5">
        <v>12</v>
      </c>
      <c r="B5" t="s">
        <v>118</v>
      </c>
      <c r="C5" t="s">
        <v>64</v>
      </c>
      <c r="D5" t="s">
        <v>47</v>
      </c>
      <c r="E5" t="s">
        <v>48</v>
      </c>
      <c r="F5" t="s">
        <v>75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">
      <c r="A6">
        <v>13</v>
      </c>
      <c r="B6" t="s">
        <v>133</v>
      </c>
      <c r="C6" t="s">
        <v>42</v>
      </c>
      <c r="D6" t="s">
        <v>97</v>
      </c>
      <c r="E6" t="s">
        <v>134</v>
      </c>
      <c r="F6" t="s">
        <v>135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0.88671875" customWidth="1"/>
    <col min="8" max="8" width="17.33203125" customWidth="1"/>
    <col min="9" max="9" width="15.88671875" customWidth="1"/>
    <col min="10" max="10" width="13" customWidth="1"/>
    <col min="11" max="12" width="10" customWidth="1"/>
    <col min="13" max="13" width="11.6640625" customWidth="1"/>
    <col min="14" max="14" width="17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">
      <c r="A2">
        <v>9</v>
      </c>
      <c r="B2" t="s">
        <v>109</v>
      </c>
      <c r="C2" t="s">
        <v>42</v>
      </c>
      <c r="D2" t="s">
        <v>47</v>
      </c>
      <c r="E2" t="s">
        <v>72</v>
      </c>
      <c r="F2">
        <v>2009</v>
      </c>
      <c r="G2" t="s">
        <v>110</v>
      </c>
      <c r="H2">
        <v>630</v>
      </c>
      <c r="I2" t="s">
        <v>108</v>
      </c>
      <c r="J2">
        <v>45</v>
      </c>
      <c r="K2" t="s">
        <v>73</v>
      </c>
      <c r="L2" t="s">
        <v>74</v>
      </c>
      <c r="M2" t="s">
        <v>75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2" customWidth="1"/>
    <col min="8" max="8" width="15.88671875" customWidth="1"/>
    <col min="9" max="9" width="24.88671875" customWidth="1"/>
    <col min="10" max="10" width="9.5546875" customWidth="1"/>
    <col min="11" max="11" width="11.6640625" customWidth="1"/>
    <col min="12" max="13" width="11.5546875" customWidth="1"/>
    <col min="14" max="14" width="86.33203125" bestFit="1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93</v>
      </c>
      <c r="L2" t="s">
        <v>94</v>
      </c>
      <c r="M2" t="s">
        <v>95</v>
      </c>
      <c r="O2" s="3">
        <v>45003</v>
      </c>
    </row>
    <row r="3" spans="1:15" x14ac:dyDescent="0.3">
      <c r="A3">
        <v>5</v>
      </c>
      <c r="B3" t="s">
        <v>96</v>
      </c>
      <c r="C3" t="s">
        <v>64</v>
      </c>
      <c r="D3" t="s">
        <v>97</v>
      </c>
      <c r="E3" t="s">
        <v>98</v>
      </c>
      <c r="F3">
        <v>1980</v>
      </c>
      <c r="G3">
        <v>60</v>
      </c>
      <c r="H3">
        <v>12</v>
      </c>
      <c r="I3">
        <v>10</v>
      </c>
      <c r="J3" t="s">
        <v>99</v>
      </c>
      <c r="K3" t="s">
        <v>100</v>
      </c>
      <c r="L3" t="s">
        <v>100</v>
      </c>
      <c r="M3" t="s">
        <v>100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Q1" sqref="Q1:Q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5.5546875" customWidth="1"/>
    <col min="8" max="8" width="15.88671875" customWidth="1"/>
    <col min="9" max="9" width="18.44140625" customWidth="1"/>
    <col min="10" max="10" width="11.109375" customWidth="1"/>
    <col min="11" max="12" width="10.109375" customWidth="1"/>
    <col min="13" max="13" width="9.5546875" customWidth="1"/>
    <col min="14" max="14" width="11.6640625" customWidth="1"/>
    <col min="15" max="16" width="11.5546875" customWidth="1"/>
    <col min="17" max="17" width="17" customWidth="1"/>
    <col min="18" max="18" width="14.44140625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">
      <c r="A2">
        <v>1</v>
      </c>
      <c r="B2" t="s">
        <v>46</v>
      </c>
      <c r="C2" t="s">
        <v>42</v>
      </c>
      <c r="D2" t="s">
        <v>55</v>
      </c>
      <c r="E2" t="s">
        <v>76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77</v>
      </c>
      <c r="L2">
        <v>500</v>
      </c>
      <c r="M2" t="s">
        <v>53</v>
      </c>
      <c r="N2" t="s">
        <v>78</v>
      </c>
      <c r="O2" t="s">
        <v>79</v>
      </c>
      <c r="P2" t="s">
        <v>80</v>
      </c>
      <c r="R2" s="3">
        <v>45003</v>
      </c>
    </row>
    <row r="3" spans="1:18" x14ac:dyDescent="0.3">
      <c r="A3">
        <v>2</v>
      </c>
      <c r="B3" t="s">
        <v>81</v>
      </c>
      <c r="C3" t="s">
        <v>42</v>
      </c>
      <c r="D3" t="s">
        <v>51</v>
      </c>
      <c r="E3" t="s">
        <v>82</v>
      </c>
      <c r="F3">
        <v>2010</v>
      </c>
      <c r="G3">
        <v>15</v>
      </c>
      <c r="H3" t="s">
        <v>83</v>
      </c>
      <c r="I3">
        <v>220</v>
      </c>
      <c r="J3">
        <v>35</v>
      </c>
      <c r="K3" t="s">
        <v>84</v>
      </c>
      <c r="L3">
        <v>1000</v>
      </c>
      <c r="M3" t="s">
        <v>53</v>
      </c>
      <c r="N3" t="s">
        <v>85</v>
      </c>
      <c r="O3" t="s">
        <v>86</v>
      </c>
      <c r="P3" t="s">
        <v>87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topLeftCell="J1" workbookViewId="0">
      <selection activeCell="R9" sqref="R9"/>
    </sheetView>
  </sheetViews>
  <sheetFormatPr defaultRowHeight="14.4" x14ac:dyDescent="0.3"/>
  <cols>
    <col min="1" max="1" width="8.5546875" customWidth="1"/>
    <col min="2" max="2" width="12.109375" bestFit="1" customWidth="1"/>
    <col min="3" max="3" width="36" bestFit="1" customWidth="1"/>
    <col min="4" max="4" width="11.5546875" customWidth="1"/>
    <col min="5" max="5" width="7.44140625" bestFit="1" customWidth="1"/>
    <col min="6" max="6" width="17.44140625" customWidth="1"/>
    <col min="7" max="7" width="11.109375" customWidth="1"/>
    <col min="8" max="8" width="10.88671875" customWidth="1"/>
    <col min="9" max="9" width="10.109375" customWidth="1"/>
    <col min="10" max="10" width="12.5546875" customWidth="1"/>
    <col min="11" max="11" width="12.5546875" bestFit="1" customWidth="1"/>
    <col min="12" max="12" width="13.109375" customWidth="1"/>
    <col min="13" max="13" width="14.109375" customWidth="1"/>
    <col min="14" max="14" width="15.5546875" bestFit="1" customWidth="1"/>
    <col min="15" max="15" width="14.88671875" customWidth="1"/>
    <col min="16" max="16" width="22.6640625" bestFit="1" customWidth="1"/>
    <col min="17" max="17" width="12.44140625" customWidth="1"/>
    <col min="18" max="18" width="98.5546875" bestFit="1" customWidth="1"/>
    <col min="19" max="19" width="14.44140625" customWidth="1"/>
  </cols>
  <sheetData>
    <row r="1" spans="1:19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">
      <c r="A2">
        <v>6</v>
      </c>
      <c r="B2" t="s">
        <v>101</v>
      </c>
      <c r="C2" t="s">
        <v>64</v>
      </c>
      <c r="D2" t="s">
        <v>65</v>
      </c>
      <c r="E2" t="s">
        <v>102</v>
      </c>
      <c r="F2">
        <v>1999</v>
      </c>
      <c r="G2">
        <v>2000</v>
      </c>
      <c r="H2" t="s">
        <v>103</v>
      </c>
      <c r="I2">
        <v>500</v>
      </c>
      <c r="J2" t="s">
        <v>66</v>
      </c>
      <c r="K2" t="s">
        <v>67</v>
      </c>
      <c r="L2">
        <v>700</v>
      </c>
      <c r="M2" t="s">
        <v>68</v>
      </c>
      <c r="N2" t="s">
        <v>69</v>
      </c>
      <c r="O2" t="s">
        <v>65</v>
      </c>
      <c r="P2" t="s">
        <v>104</v>
      </c>
      <c r="Q2" t="s">
        <v>70</v>
      </c>
      <c r="S2" s="3">
        <v>45003</v>
      </c>
    </row>
    <row r="3" spans="1:19" x14ac:dyDescent="0.3">
      <c r="A3">
        <v>11</v>
      </c>
      <c r="B3" t="s">
        <v>113</v>
      </c>
      <c r="C3" t="s">
        <v>64</v>
      </c>
      <c r="D3" t="s">
        <v>114</v>
      </c>
      <c r="E3" t="s">
        <v>115</v>
      </c>
      <c r="F3">
        <v>2013</v>
      </c>
      <c r="G3">
        <v>4000</v>
      </c>
      <c r="H3">
        <v>259</v>
      </c>
      <c r="I3">
        <v>2000</v>
      </c>
      <c r="J3" t="s">
        <v>116</v>
      </c>
      <c r="K3" t="s">
        <v>53</v>
      </c>
      <c r="L3" t="s">
        <v>75</v>
      </c>
      <c r="M3" t="s">
        <v>68</v>
      </c>
      <c r="N3" t="s">
        <v>117</v>
      </c>
      <c r="O3" t="s">
        <v>114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Alexandre</cp:lastModifiedBy>
  <dcterms:created xsi:type="dcterms:W3CDTF">2015-06-05T18:19:34Z</dcterms:created>
  <dcterms:modified xsi:type="dcterms:W3CDTF">2023-03-30T18:27:38Z</dcterms:modified>
</cp:coreProperties>
</file>