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exandre\Desktop\"/>
    </mc:Choice>
  </mc:AlternateContent>
  <xr:revisionPtr revIDLastSave="0" documentId="13_ncr:1_{5DBC8DF8-CCAF-492B-A12A-44CE2F68A2A6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1" i="8" l="1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E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4" i="1" l="1"/>
  <c r="F2" i="1"/>
  <c r="F3" i="1"/>
  <c r="F4" i="1"/>
  <c r="F5" i="1"/>
  <c r="F6" i="1"/>
  <c r="F7" i="1"/>
  <c r="F8" i="1"/>
  <c r="F9" i="1"/>
  <c r="F10" i="1"/>
  <c r="F11" i="1"/>
  <c r="F12" i="1"/>
  <c r="F13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<sst xmlns="http://schemas.openxmlformats.org/spreadsheetml/2006/main" count="384" uniqueCount="152">
  <si>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</si>
  <si>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</si>
  <si>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</si>
  <si>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</si>
  <si>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</si>
  <si>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</si>
  <si>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</si>
  <si>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</si>
  <si>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</si>
  <si>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</si>
  <si>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</si>
  <si>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</si>
  <si>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</si>
  <si>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</si>
  <si>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</si>
  <si>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</si>
  <si>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</si>
  <si>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</si>
  <si>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</si>
  <si>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</si>
  <si>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</si>
  <si>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</si>
  <si>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</si>
  <si>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</si>
  <si>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</si>
  <si>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</si>
  <si>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</si>
  <si>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</si>
  <si>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</si>
  <si>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</si>
  <si>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</si>
  <si>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</si>
  <si>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</si>
  <si>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</si>
  <si>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</si>
  <si>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</si>
  <si>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</si>
  <si>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</si>
  <si>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</si>
  <si>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</si>
  <si>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</si>
  <si>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</si>
  <si>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</si>
  <si>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</si>
  <si>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</si>
  <si>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</si>
  <si>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C:\Users\Lucão\Desktop\Rede\FATEC ADS\ProjetoCRUDVBA\imagens-de-teste\chave-seccionadora.jpg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</si>
  <si>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</si>
  <si>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</si>
  <si>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</si>
  <si>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</si>
  <si>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</si>
  <si>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</si>
  <si>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</si>
  <si>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</si>
  <si>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C:\Users\Lucão\Desktop\Rede\FATEC ADS\ProjetoCRUDVBA\imagens-de-teste\transformador-de-potencial-1.jpg</t>
  </si>
  <si>
    <t>Transformador de Corrente</t>
  </si>
  <si>
    <t>Instrumenti</t>
  </si>
  <si>
    <t>45/-kV</t>
  </si>
  <si>
    <t>1,2xin</t>
  </si>
  <si>
    <t>200-5A</t>
  </si>
  <si>
    <t>C:\Users\Lucão\Desktop\Rede\FATEC ADS\ProjetoCRUDVBA\imagens-de-teste\transformador-de-corrente-tc.jpg</t>
  </si>
  <si>
    <t>Para-Raios</t>
  </si>
  <si>
    <t>Balestro</t>
  </si>
  <si>
    <t>PBP12</t>
  </si>
  <si>
    <t>Polimérico</t>
  </si>
  <si>
    <t>C:\Users\Lucão\Desktop\Rede\FATEC ADS\ProjetoCRUDVBA\imagens-de-teste\Para-raios.jpg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</si>
  <si>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</si>
  <si>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</si>
  <si>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</si>
  <si>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</si>
  <si>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</si>
  <si>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</si>
  <si>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</si>
  <si>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</si>
  <si>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C:\Users\Lucão\Desktop\Rede\FATEC ADS\ProjetoCRUDVBA\imagens-de-teste\TransformadorPotencia.jpg</t>
  </si>
  <si>
    <t>Disjuntor</t>
  </si>
  <si>
    <t>MAF15</t>
  </si>
  <si>
    <t>Manual e Motorizado</t>
  </si>
  <si>
    <t>Indireto</t>
  </si>
  <si>
    <t>-</t>
  </si>
  <si>
    <t>C:\Users\Lucão\Desktop\Rede\FATEC ADS\ProjetoCRUDVBA\imagens-de-teste\disjuntor.jpg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</si>
  <si>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</si>
  <si>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</si>
  <si>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</si>
  <si>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</si>
  <si>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</si>
  <si>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</si>
  <si>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</si>
  <si>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</si>
  <si>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</si>
  <si>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</si>
  <si>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</si>
  <si>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</si>
  <si>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</si>
  <si>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</si>
  <si>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</si>
  <si>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</si>
  <si>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</si>
  <si>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</si>
  <si>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</si>
  <si>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</si>
  <si>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</si>
  <si>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</si>
  <si>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</si>
  <si>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</si>
  <si>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</si>
  <si>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C:\Users\Lucão\Desktop\Rede\FATEC ADS\ProjetoCRUDVBA\imagens-de-teste\para-raios-distribuicao-porcelana-cinza.jpg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</si>
  <si>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</si>
  <si>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</si>
  <si>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</si>
  <si>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</si>
  <si>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</si>
  <si>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</si>
  <si>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</si>
  <si>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</si>
  <si>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</si>
  <si>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</si>
  <si>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</si>
  <si>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</si>
  <si>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</si>
  <si>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</si>
  <si>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</si>
  <si>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</si>
  <si>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</si>
  <si>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Falso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</si>
  <si>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</si>
  <si>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</si>
  <si>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</si>
  <si>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</si>
  <si>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</si>
  <si>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</si>
  <si>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</si>
  <si>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</si>
  <si>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6Transformador de PotênciaMultilaser SACabine Secundária</t>
  </si>
  <si>
    <t>7Chave SeccionadoraAsus EletronicsCabine Primária</t>
  </si>
  <si>
    <t>8Chave SeccionadoraLogitech EletronicsCabine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</si>
  <si>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</si>
  <si>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</si>
  <si>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</si>
  <si>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</si>
  <si>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</si>
  <si>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</si>
  <si>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</si>
  <si>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C:\Users\aluno\Desktop\ProjetoVBAPMI\Projeto-CRUD-PMI-ESS\imagens-de-teste\chave-seccionadora.jpg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</si>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</sst>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G14" totalsRowShown="0" headerRowDxfId="35">
  <autoFilter ref="A1:G1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xr3:uid="{00000000-0010-0000-0000-000001000000}" name="Codigo" dataDxfId="34"/>
    <tableColumn id="2" xr3:uid="{00000000-0010-0000-0000-000002000000}" name="TipoDeEquipamento" dataDxfId="33"/>
    <tableColumn id="3" xr3:uid="{00000000-0010-0000-0000-000003000000}" name="Cliente" dataDxfId="32"/>
    <tableColumn id="4" xr3:uid="{00000000-0010-0000-0000-000004000000}" name="Identificacao" dataDxfId="31"/>
    <tableColumn id="5" xr3:uid="{00000000-0010-0000-0000-000005000000}" name="DataCadastro" dataDxfId="30"/>
    <tableColumn id="11" xr3:uid="{00000000-0010-0000-0000-00000B000000}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xr3:uid="{00000000-0010-0000-0000-00000C000000}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6" totalsRowShown="0">
  <autoFilter ref="A1:K6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3" totalsRowShown="0" headerRowDxfId="1">
  <autoFilter ref="A1:S3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A1:S21"/>
  <sheetViews>
    <sheetView workbookViewId="0">
      <selection activeCell="M23" sqref="M23"/>
    </sheetView>
  </sheetViews>
  <sheetFormatPr defaultRowHeight="14.4" x14ac:dyDescent="0.3"/>
  <cols>
    <col min="2" max="2" width="21.5546875" bestFit="1" customWidth="1"/>
    <col min="4" max="4" width="21.5546875" bestFit="1" customWidth="1"/>
    <col min="5" max="5" width="10.44140625" bestFit="1" customWidth="1"/>
    <col min="11" max="11" width="10.44140625" customWidth="1"/>
    <col min="12" max="12" width="10.44140625" bestFit="1" customWidth="1"/>
    <col min="13" max="13" width="10.44140625" style="3" bestFit="1" customWidth="1"/>
    <col min="15" max="15" width="10.44140625" bestFit="1" customWidth="1"/>
    <col min="18" max="19" width="10.44140625" bestFit="1" customWidth="1"/>
  </cols>
  <sheetData>
    <row r="1" spans="1:18" s="19" customFormat="1" ht="15" thickBot="1" x14ac:dyDescent="0.35">
      <c r="A1" s="27" t="s">
        <v>145</v>
      </c>
      <c r="B1" s="28"/>
      <c r="C1" s="28"/>
      <c r="D1" s="28"/>
      <c r="E1" s="28"/>
      <c r="F1" s="18"/>
      <c r="G1" s="18"/>
      <c r="H1" s="18"/>
      <c r="I1" s="18"/>
      <c r="J1" s="18"/>
      <c r="K1" s="18"/>
      <c r="M1" s="20"/>
    </row>
    <row r="2" spans="1:18" x14ac:dyDescent="0.3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</row>
    <row r="3" spans="1:18" s="22" customFormat="1" ht="15" thickBot="1" x14ac:dyDescent="0.35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2" t="str">
        <f>IFERROR(VLOOKUP($A3,CadastroEqCS!$A:$K,6,0),"")</f>
        <v/>
      </c>
      <c r="G3" s="22" t="str">
        <f>IFERROR(VLOOKUP($A3,CadastroEqCS!$A:$K,7,0),"")</f>
        <v/>
      </c>
      <c r="H3" s="22" t="str">
        <f>IFERROR(VLOOKUP($A3,CadastroEqCS!$A:$K,8,0),"")</f>
        <v/>
      </c>
      <c r="I3" s="22" t="str">
        <f>IFERROR(VLOOKUP($A3,CadastroEqCS!$A:$K,9,0),"")</f>
        <v/>
      </c>
      <c r="J3" s="22" t="str">
        <f>IFERROR(VLOOKUP($A3,CadastroEqCS!$A:$K,10,0),"")</f>
        <v/>
      </c>
      <c r="K3" s="23" t="str">
        <f>IFERROR(VLOOKUP($A3,CadastroEqCS!$A:$K,11,0),"")</f>
        <v/>
      </c>
      <c r="M3" s="23"/>
    </row>
    <row r="4" spans="1:18" s="19" customFormat="1" x14ac:dyDescent="0.3">
      <c r="A4" s="25" t="s">
        <v>146</v>
      </c>
      <c r="B4" s="26"/>
      <c r="C4" s="26"/>
      <c r="D4" s="26"/>
      <c r="E4" s="26"/>
      <c r="F4" s="26"/>
      <c r="G4" s="26"/>
      <c r="H4" s="26"/>
      <c r="I4" s="26"/>
      <c r="J4" s="26"/>
      <c r="K4" s="26"/>
      <c r="M4" s="20"/>
    </row>
    <row r="5" spans="1:18" x14ac:dyDescent="0.3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" thickBot="1" x14ac:dyDescent="0.35">
      <c r="A6" s="21">
        <v>3</v>
      </c>
      <c r="B6" s="22" t="str">
        <f>IF(A6="","Sem Código",IFERROR(VLOOKUP($A6,CadastroEqTC!$A:$R,2,0),"Produto não Encontrado"))</f>
        <v>Ultra Ventiladores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IFERROR(VLOOKUP($A6,CadastroEqCS!$A:$R,5,0),"")</f>
        <v/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3" t="str">
        <f>IFERROR(VLOOKUP($A6,CadastroEqTC!$A:$R,17,0),"")</f>
        <v>C:\Users\Lucão\Desktop\Rede\FATEC ADS\ProjetoCRUDVBA\imagens-de-teste\transformador-de-corrente-tc.jpg</v>
      </c>
      <c r="R6" s="23">
        <f>IFERROR(VLOOKUP($A6,CadastroEqTC!$A:$R,18,0),"")</f>
        <v>45003</v>
      </c>
    </row>
    <row r="7" spans="1:18" x14ac:dyDescent="0.3">
      <c r="A7" s="29" t="s">
        <v>119</v>
      </c>
      <c r="B7" s="29"/>
      <c r="C7" s="29"/>
      <c r="D7" s="29"/>
      <c r="E7" s="29"/>
      <c r="F7" s="29"/>
      <c r="G7" s="29"/>
      <c r="H7" s="29"/>
      <c r="I7" s="29"/>
      <c r="J7" s="29"/>
      <c r="K7" s="29"/>
    </row>
    <row r="8" spans="1:18" x14ac:dyDescent="0.3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" thickBot="1" x14ac:dyDescent="0.35">
      <c r="A9">
        <v>7</v>
      </c>
      <c r="B9" t="str">
        <f>IF(A9="","Sem Código",IFERROR(VLOOKUP($A9,CadastroEqCS!$A:$K,2,0),"Produto não Encontrado"))</f>
        <v>Asus Eletronics</v>
      </c>
      <c r="C9" t="str">
        <f>IFERROR(VLOOKUP($A9,CadastroEqCS!$A:$K,3,0),"")</f>
        <v>Cabine Primária</v>
      </c>
      <c r="D9" t="str">
        <f>IFERROR(VLOOKUP($A9,CadastroEqCS!$A:$K,4,0),"")</f>
        <v>A.Cabine</v>
      </c>
      <c r="E9" t="str">
        <f>IFERROR(VLOOKUP($A9,CadastroEqCS!$A:$K,5,0),"")</f>
        <v>GVL</v>
      </c>
      <c r="F9" t="str">
        <f>IFERROR(VLOOKUP($A9,CadastroEqCS!$A:$K,6,0),"")</f>
        <v>K593</v>
      </c>
      <c r="G9" t="str">
        <f>IFERROR(VLOOKUP($A9,CadastroEqCS!$A:$K,7,0),"")</f>
        <v>Manual com abertura por bastão de manobra</v>
      </c>
      <c r="H9">
        <f>IFERROR(VLOOKUP($A9,CadastroEqCS!$A:$K,8,0),"")</f>
        <v>400</v>
      </c>
      <c r="I9">
        <f>IFERROR(VLOOKUP($A9,CadastroEqCS!$A:$K,9,0),"")</f>
        <v>15</v>
      </c>
      <c r="J9" t="str">
        <f>IFERROR(VLOOKUP($A9,CadastroEqCS!$A:$K,10,0),"")</f>
        <v>C:\Users\Lucão\Desktop\Rede\FATEC ADS\ProjetoCRUDVBA\imagens-de-teste\chave-seccionadora.jpg</v>
      </c>
      <c r="K9" s="3">
        <f>IFERROR(VLOOKUP($A9,CadastroEqCS!$A:$K,11,0),"")</f>
        <v>45003</v>
      </c>
    </row>
    <row r="10" spans="1:18" s="19" customFormat="1" x14ac:dyDescent="0.3">
      <c r="A10" s="25" t="s">
        <v>147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M10" s="20"/>
    </row>
    <row r="11" spans="1:18" x14ac:dyDescent="0.3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" thickBot="1" x14ac:dyDescent="0.35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3" t="str">
        <f>IFERROR(VLOOKUP($A12,CadastroEqDJ!$A:$O,14,0),"")</f>
        <v>C:\Users\Lucão\Desktop\Rede\FATEC ADS\ProjetoCRUDVBA\imagens-de-teste\disjuntor.jpg</v>
      </c>
      <c r="O12" s="23">
        <f>IFERROR(VLOOKUP($A12,CadastroEqDJ!$A:$O,15,0),"")</f>
        <v>45003</v>
      </c>
    </row>
    <row r="13" spans="1:18" x14ac:dyDescent="0.3">
      <c r="A13" s="29" t="s">
        <v>148</v>
      </c>
      <c r="B13" s="29"/>
      <c r="C13" s="29"/>
      <c r="D13" s="29"/>
      <c r="E13" s="29"/>
      <c r="F13" s="29"/>
      <c r="G13" s="29"/>
      <c r="H13" s="29"/>
      <c r="I13" s="29"/>
      <c r="J13" s="29"/>
      <c r="K13" s="29"/>
    </row>
    <row r="14" spans="1:18" x14ac:dyDescent="0.3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" thickBot="1" x14ac:dyDescent="0.35">
      <c r="A15">
        <v>4</v>
      </c>
      <c r="B15" t="str">
        <f>IF(A15="","Sem Código",IFERROR(VLOOKUP($A15,CadastroEqPR!$A:$O,2,0),"Produto não Encontrado"))</f>
        <v>Ultra Ventiladores</v>
      </c>
      <c r="C15" t="str">
        <f>IFERROR(VLOOKUP($A15,CadastroEqPR!$A:$O,3,0),"")</f>
        <v>Cabine Secundária</v>
      </c>
      <c r="D15" t="str">
        <f>IFERROR(VLOOKUP($A15,CadastroEqPR!$A:$O,4,0),"")</f>
        <v>Balestro</v>
      </c>
      <c r="E15" t="str">
        <f>IFERROR(VLOOKUP($A15,CadastroEqPR!$A:$O,5,0),"")</f>
        <v>PBP12</v>
      </c>
      <c r="F15">
        <f>IFERROR(VLOOKUP($A15,CadastroEqPR!$A:$O,6,0),"")</f>
        <v>2009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Polimérico</v>
      </c>
      <c r="K15" s="3" t="str">
        <f>IFERROR(VLOOKUP($A15,CadastroEqPR!$A:$O,11,0),"")</f>
        <v>PP442</v>
      </c>
      <c r="L15" s="3" t="str">
        <f>IFERROR(VLOOKUP($A15,CadastroEqPR!$A:$O,12,0),"")</f>
        <v>PP443</v>
      </c>
      <c r="M15" s="3" t="str">
        <f>IFERROR(VLOOKUP($A15,CadastroEqPR!$A:$O,13,0),"")</f>
        <v>PP445</v>
      </c>
      <c r="N15" s="3" t="str">
        <f>IFERROR(VLOOKUP($A15,CadastroEqPR!$A:$O,14,0),"")</f>
        <v>C:\Users\Lucão\Desktop\Rede\FATEC ADS\ProjetoCRUDVBA\imagens-de-teste\Para-raios.jpg</v>
      </c>
      <c r="O15" s="3">
        <f>IFERROR(VLOOKUP($A15,CadastroEqPR!$A:$O,15,0),"")</f>
        <v>45003</v>
      </c>
    </row>
    <row r="16" spans="1:18" s="19" customFormat="1" x14ac:dyDescent="0.3">
      <c r="A16" s="25" t="s">
        <v>149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M16" s="20"/>
    </row>
    <row r="17" spans="1:19" x14ac:dyDescent="0.3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" thickBot="1" x14ac:dyDescent="0.35">
      <c r="A18" s="21">
        <v>1</v>
      </c>
      <c r="B18" s="22" t="str">
        <f>IF(A18="","Sem Código",IFERROR(VLOOKUP($A18,CadastroEqTP!$A:$R,2,0),"Produto não Encontrado"))</f>
        <v>Ultra Ventiladores</v>
      </c>
      <c r="C18" s="22" t="str">
        <f>IFERROR(VLOOKUP($A18,CadastroEqTP!$A:$R,3,0),"")</f>
        <v>Cabine Primária</v>
      </c>
      <c r="D18" s="22" t="str">
        <f>IFERROR(VLOOKUP($A18,CadastroEqTP!$A:$R,4,0),"")</f>
        <v>Instrumenti</v>
      </c>
      <c r="E18" s="22" t="str">
        <f>IFERROR(VLOOKUP($A18,CadastroEqTP!$A:$R,5,0),"")</f>
        <v>TP555</v>
      </c>
      <c r="F18" s="22">
        <f>IFERROR(VLOOKUP($A18,CadastroEqTP!$A:$R,6,0),"")</f>
        <v>2000</v>
      </c>
      <c r="G18" s="22">
        <f>IFERROR(VLOOKUP($A18,CadastroEqTP!$A:$R,7,0),"")</f>
        <v>15</v>
      </c>
      <c r="H18" s="22" t="str">
        <f>IFERROR(VLOOKUP($A18,CadastroEqTP!$A:$R,8,0),"")</f>
        <v>13,8</v>
      </c>
      <c r="I18" s="22">
        <f>IFERROR(VLOOKUP($A18,CadastroEqTP!$A:$R,9,0),"")</f>
        <v>220</v>
      </c>
      <c r="J18" s="22">
        <f>IFERROR(VLOOKUP($A18,CadastroEqTP!$A:$R,10,0),"")</f>
        <v>20</v>
      </c>
      <c r="K18" s="23" t="str">
        <f>IFERROR(VLOOKUP($A18,CadastroEqTP!$A:$R,11,0),"")</f>
        <v>10B12A</v>
      </c>
      <c r="L18" s="23">
        <f>IFERROR(VLOOKUP($A18,CadastroEqTP!$A:$R,12,0),"")</f>
        <v>500</v>
      </c>
      <c r="M18" s="23" t="str">
        <f>IFERROR(VLOOKUP($A18,CadastroEqTP!$A:$R,13,0),"")</f>
        <v>Epóxi</v>
      </c>
      <c r="N18" s="23" t="str">
        <f>IFERROR(VLOOKUP($A18,CadastroEqTP!$A:$R,14,0),"")</f>
        <v>5A22</v>
      </c>
      <c r="O18" s="23" t="str">
        <f>IFERROR(VLOOKUP($A18,CadastroEqTP!$A:$R,15,0),"")</f>
        <v>5A23</v>
      </c>
      <c r="P18" s="23" t="str">
        <f>IFERROR(VLOOKUP($A18,CadastroEqTP!$A:$R,16,0),"")</f>
        <v>5A24</v>
      </c>
      <c r="Q18" s="23" t="str">
        <f>IFERROR(VLOOKUP($A18,CadastroEqTP!$A:$R,17,0),"")</f>
        <v>C:\Users\Lucão\Desktop\Rede\FATEC ADS\ProjetoCRUDVBA\imagens-de-teste\transformador-de-potencial-1.jpg</v>
      </c>
      <c r="R18" s="23">
        <f>IFERROR(VLOOKUP($A18,CadastroEqTP!$A:$R,18,0),"")</f>
        <v>45003</v>
      </c>
    </row>
    <row r="19" spans="1:19" s="19" customFormat="1" x14ac:dyDescent="0.3">
      <c r="A19" s="25" t="s">
        <v>150</v>
      </c>
      <c r="B19" s="26"/>
      <c r="C19" s="26"/>
      <c r="D19" s="26"/>
      <c r="E19" s="26"/>
      <c r="F19" s="26"/>
      <c r="G19" s="26"/>
      <c r="H19" s="26"/>
      <c r="I19" s="26"/>
      <c r="J19" s="26"/>
      <c r="K19" s="26"/>
      <c r="M19" s="20"/>
    </row>
    <row r="20" spans="1:19" x14ac:dyDescent="0.3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" thickBot="1" x14ac:dyDescent="0.35">
      <c r="A21" s="21">
        <v>6</v>
      </c>
      <c r="B21" s="22" t="str">
        <f>IF(A21="","Sem Código",IFERROR(VLOOKUP($A21,CadastroEqTRAFO!$A:$S,2,0),"Produto não Encontrado"))</f>
        <v>Multilaser SA</v>
      </c>
      <c r="C21" s="22" t="str">
        <f>IFERROR(VLOOKUP($A21,CadastroEqTRAFO!$A:$S,3,0),"")</f>
        <v>Cabine Secundária</v>
      </c>
      <c r="D21" s="22" t="str">
        <f>IFERROR(VLOOKUP($A21,CadastroEqTRAFO!$A:$S,4,0),"")</f>
        <v>WEG</v>
      </c>
      <c r="E21" s="22" t="str">
        <f>IFERROR(VLOOKUP($A21,CadastroEqTRAFO!$A:$S,5,0),"")</f>
        <v>TR555</v>
      </c>
      <c r="F21" s="22">
        <f>IFERROR(VLOOKUP($A21,CadastroEqTRAFO!$A:$S,6,0),"")</f>
        <v>1999</v>
      </c>
      <c r="G21" s="22">
        <f>IFERROR(VLOOKUP($A21,CadastroEqTRAFO!$A:$S,7,0),"")</f>
        <v>2000</v>
      </c>
      <c r="H21" s="22" t="str">
        <f>IFERROR(VLOOKUP($A21,CadastroEqTRAFO!$A:$S,8,0),"")</f>
        <v>W5TR27</v>
      </c>
      <c r="I21" s="22">
        <f>IFERROR(VLOOKUP($A21,CadastroEqTRAFO!$A:$S,9,0),"")</f>
        <v>500</v>
      </c>
      <c r="J21" s="22" t="str">
        <f>IFERROR(VLOOKUP($A21,CadastroEqTRAFO!$A:$S,10,0),"")</f>
        <v>1,75</v>
      </c>
      <c r="K21" s="23" t="str">
        <f>IFERROR(VLOOKUP($A21,CadastroEqTRAFO!$A:$S,11,0),"")</f>
        <v>Óleo Mineral</v>
      </c>
      <c r="L21" s="23">
        <f>IFERROR(VLOOKUP($A21,CadastroEqTRAFO!$A:$S,12,0),"")</f>
        <v>700</v>
      </c>
      <c r="M21" s="23" t="str">
        <f>IFERROR(VLOOKUP($A21,CadastroEqTRAFO!$A:$S,13,0),"")</f>
        <v>DYN1</v>
      </c>
      <c r="N21" s="23" t="str">
        <f>IFERROR(VLOOKUP($A21,CadastroEqTRAFO!$A:$S,14,0),"")</f>
        <v>Rotativo Interno</v>
      </c>
      <c r="O21" s="23" t="str">
        <f>IFERROR(VLOOKUP($A21,CadastroEqTRAFO!$A:$S,15,0),"")</f>
        <v>WEG</v>
      </c>
      <c r="P21" s="23" t="str">
        <f>IFERROR(VLOOKUP($A21,CadastroEqTRAFO!$A:$S,16,0),"")</f>
        <v>13,8/13,2/12,6/12,0/11,4</v>
      </c>
      <c r="Q21" s="23" t="str">
        <f>IFERROR(VLOOKUP($A21,CadastroEqTRAFO!$A:$S,17,0),"")</f>
        <v>380/220</v>
      </c>
      <c r="R21" s="23" t="str">
        <f>IFERROR(VLOOKUP($A21,CadastroEqTRAFO!$A:$S,18,0),"")</f>
        <v>C:\Users\Lucão\Desktop\Rede\FATEC ADS\ProjetoCRUDVBA\imagens-de-teste\TransformadorPotencia.jpg</v>
      </c>
      <c r="S21" s="23">
        <f>IFERROR(VLOOKUP($A21,CadastroEqTRAFO!$A:$S,19,0),"")</f>
        <v>45003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G14"/>
  <sheetViews>
    <sheetView tabSelected="1" workbookViewId="0">
      <selection activeCell="I6" sqref="I6"/>
    </sheetView>
  </sheetViews>
  <sheetFormatPr defaultRowHeight="14.4" x14ac:dyDescent="0.3"/>
  <cols>
    <col min="1" max="1" width="9.33203125" style="4" customWidth="1"/>
    <col min="2" max="2" width="26" style="2" bestFit="1" customWidth="1"/>
    <col min="3" max="3" width="27.44140625" style="2" bestFit="1" customWidth="1"/>
    <col min="4" max="4" width="17.5546875" style="2" bestFit="1" customWidth="1"/>
    <col min="5" max="5" width="14.88671875" style="3" customWidth="1"/>
    <col min="6" max="6" width="65.6640625" bestFit="1" customWidth="1"/>
  </cols>
  <sheetData>
    <row r="1" spans="1:7" x14ac:dyDescent="0.3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127</v>
      </c>
      <c r="G1" s="2" t="s">
        <v>128</v>
      </c>
    </row>
    <row r="2" spans="1:7" x14ac:dyDescent="0.3">
      <c r="A2" s="4">
        <v>1</v>
      </c>
      <c r="B2" s="2" t="s">
        <v>51</v>
      </c>
      <c r="C2" s="2" t="s">
        <v>47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129</v>
      </c>
    </row>
    <row r="3" spans="1:7" x14ac:dyDescent="0.3">
      <c r="A3" s="4">
        <v>2</v>
      </c>
      <c r="B3" s="2" t="s">
        <v>51</v>
      </c>
      <c r="C3" s="2" t="s">
        <v>87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130</v>
      </c>
    </row>
    <row r="4" spans="1:7" x14ac:dyDescent="0.3">
      <c r="A4" s="4">
        <v>3</v>
      </c>
      <c r="B4" s="2" t="s">
        <v>56</v>
      </c>
      <c r="C4" s="2" t="s">
        <v>47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131</v>
      </c>
    </row>
    <row r="5" spans="1:7" x14ac:dyDescent="0.3">
      <c r="A5" s="4">
        <v>4</v>
      </c>
      <c r="B5" s="2" t="s">
        <v>62</v>
      </c>
      <c r="C5" s="2" t="s">
        <v>47</v>
      </c>
      <c r="D5" s="2" t="s">
        <v>68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132</v>
      </c>
    </row>
    <row r="6" spans="1:7" x14ac:dyDescent="0.3">
      <c r="A6" s="4">
        <v>5</v>
      </c>
      <c r="B6" s="2" t="s">
        <v>62</v>
      </c>
      <c r="C6" s="2" t="s">
        <v>102</v>
      </c>
      <c r="D6" s="2" t="s">
        <v>68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133</v>
      </c>
    </row>
    <row r="7" spans="1:7" x14ac:dyDescent="0.3">
      <c r="A7" s="4">
        <v>6</v>
      </c>
      <c r="B7" s="2" t="s">
        <v>67</v>
      </c>
      <c r="C7" s="2" t="s">
        <v>108</v>
      </c>
      <c r="D7" s="2" t="s">
        <v>68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6Transformador de PotênciaMultilaser SACabine Secundária</v>
      </c>
      <c r="G7" s="2" t="s">
        <v>134</v>
      </c>
    </row>
    <row r="8" spans="1:7" x14ac:dyDescent="0.3">
      <c r="A8" s="4">
        <v>7</v>
      </c>
      <c r="B8" s="2" t="s">
        <v>41</v>
      </c>
      <c r="C8" s="2" t="s">
        <v>112</v>
      </c>
      <c r="D8" s="2" t="s">
        <v>42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7Chave SeccionadoraAsus EletronicsCabine Primária</v>
      </c>
      <c r="G8" s="2" t="s">
        <v>135</v>
      </c>
    </row>
    <row r="9" spans="1:7" x14ac:dyDescent="0.3">
      <c r="A9" s="4">
        <v>8</v>
      </c>
      <c r="B9" s="2" t="s">
        <v>41</v>
      </c>
      <c r="C9" s="2" t="s">
        <v>87</v>
      </c>
      <c r="D9" s="2" t="s">
        <v>68</v>
      </c>
      <c r="E9" s="3">
        <v>45003</v>
      </c>
      <c r="F9" s="2" t="str">
        <f>CONCATENATE(Tabela2[[#This Row],[Codigo]],Tabela2[[#This Row],[TipoDeEquipamento]],Tabela2[[#This Row],[Cliente]],Tabela2[[#This Row],[Identificacao]])</f>
        <v>8Chave SeccionadoraLogitech EletronicsCabine Secundária</v>
      </c>
      <c r="G9" s="2" t="s">
        <v>136</v>
      </c>
    </row>
    <row r="10" spans="1:7" x14ac:dyDescent="0.3">
      <c r="A10" s="4">
        <v>9</v>
      </c>
      <c r="B10" s="2" t="s">
        <v>76</v>
      </c>
      <c r="C10" s="2" t="s">
        <v>116</v>
      </c>
      <c r="D10" s="2" t="s">
        <v>42</v>
      </c>
      <c r="E10" s="3">
        <v>45003</v>
      </c>
      <c r="F10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10" s="2" t="s">
        <v>137</v>
      </c>
    </row>
    <row r="11" spans="1:7" x14ac:dyDescent="0.3">
      <c r="A11" s="4">
        <v>10</v>
      </c>
      <c r="B11" s="2" t="s">
        <v>41</v>
      </c>
      <c r="C11" s="2" t="s">
        <v>118</v>
      </c>
      <c r="D11" s="2" t="s">
        <v>68</v>
      </c>
      <c r="E11" s="3">
        <v>45003</v>
      </c>
      <c r="F11" s="2" t="str">
        <f>CONCATENATE(Tabela2[[#This Row],[Codigo]],Tabela2[[#This Row],[TipoDeEquipamento]],Tabela2[[#This Row],[Cliente]],Tabela2[[#This Row],[Identificacao]])</f>
        <v>10Chave SeccionadoraFastPlasCabine Secundária</v>
      </c>
      <c r="G11" s="2" t="s">
        <v>138</v>
      </c>
    </row>
    <row r="12" spans="1:7" x14ac:dyDescent="0.3">
      <c r="A12" s="4">
        <v>11</v>
      </c>
      <c r="B12" s="2" t="s">
        <v>67</v>
      </c>
      <c r="C12" s="2" t="s">
        <v>120</v>
      </c>
      <c r="D12" s="2" t="s">
        <v>68</v>
      </c>
      <c r="E12" s="3">
        <v>45007</v>
      </c>
      <c r="F12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12" s="2" t="s">
        <v>139</v>
      </c>
    </row>
    <row r="13" spans="1:7" x14ac:dyDescent="0.3">
      <c r="A13" s="4">
        <v>12</v>
      </c>
      <c r="B13" s="2" t="s">
        <v>41</v>
      </c>
      <c r="C13" s="2" t="s">
        <v>126</v>
      </c>
      <c r="D13" s="2" t="s">
        <v>68</v>
      </c>
      <c r="E13" s="3">
        <v>45007</v>
      </c>
      <c r="F13" s="2" t="str">
        <f>CONCATENATE(Tabela2[[#This Row],[Codigo]],Tabela2[[#This Row],[TipoDeEquipamento]],Tabela2[[#This Row],[Cliente]],Tabela2[[#This Row],[Identificacao]])</f>
        <v>12Chave SeccionadoraWill GeradoresCabine Secundária</v>
      </c>
      <c r="G13" s="2" t="s">
        <v>140</v>
      </c>
    </row>
    <row r="14" spans="1:7" x14ac:dyDescent="0.3">
      <c r="A14" s="4">
        <v>13</v>
      </c>
      <c r="B14" s="2" t="s">
        <v>41</v>
      </c>
      <c r="C14" s="2" t="s">
        <v>141</v>
      </c>
      <c r="D14" s="2" t="s">
        <v>42</v>
      </c>
      <c r="E14" s="3">
        <v>45013</v>
      </c>
      <c r="F14" s="2" t="str">
        <f>CONCATENATE(Tabela2[[#This Row],[Codigo]],Tabela2[[#This Row],[TipoDeEquipamento]],Tabela2[[#This Row],[Cliente]],Tabela2[[#This Row],[Identificacao]])</f>
        <v>13Chave SeccionadoraDelta PCabine Primária</v>
      </c>
      <c r="G14" s="2" t="s">
        <v>151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workbookViewId="0">
      <selection activeCell="P2" sqref="P2"/>
    </sheetView>
  </sheetViews>
  <sheetFormatPr defaultRowHeight="14.4" x14ac:dyDescent="0.3"/>
  <cols>
    <col min="1" max="1" width="8.5546875" style="4" customWidth="1"/>
    <col min="2" max="2" width="11" style="2" bestFit="1" customWidth="1"/>
    <col min="3" max="3" width="19" style="2" bestFit="1" customWidth="1"/>
    <col min="4" max="4" width="11.5546875" style="2" customWidth="1"/>
    <col min="5" max="5" width="6.44140625" style="2" customWidth="1"/>
    <col min="6" max="6" width="17.44140625" style="4" customWidth="1"/>
    <col min="7" max="7" width="6.88671875" style="2" bestFit="1" customWidth="1"/>
    <col min="8" max="8" width="14" style="1" customWidth="1"/>
    <col min="9" max="9" width="16.6640625" style="5" bestFit="1" customWidth="1"/>
    <col min="10" max="10" width="13.33203125" style="1" bestFit="1" customWidth="1"/>
    <col min="11" max="11" width="10.109375" style="1" customWidth="1"/>
    <col min="12" max="12" width="9.33203125" style="2" customWidth="1"/>
    <col min="13" max="13" width="20.44140625" style="2" bestFit="1" customWidth="1"/>
    <col min="14" max="14" width="11.6640625" style="2" customWidth="1"/>
    <col min="15" max="16" width="11.5546875" style="2" customWidth="1"/>
    <col min="17" max="17" width="121.88671875" style="2" bestFit="1" customWidth="1"/>
    <col min="18" max="18" width="14.44140625" style="3" customWidth="1"/>
  </cols>
  <sheetData>
    <row r="1" spans="1:18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3">
      <c r="A2" s="4">
        <v>3</v>
      </c>
      <c r="B2" s="2" t="s">
        <v>47</v>
      </c>
      <c r="C2" s="2" t="s">
        <v>42</v>
      </c>
      <c r="D2" s="2" t="s">
        <v>57</v>
      </c>
      <c r="E2" s="2" t="s">
        <v>94</v>
      </c>
      <c r="F2" s="4">
        <v>1997</v>
      </c>
      <c r="G2" s="2" t="s">
        <v>58</v>
      </c>
      <c r="H2" s="1" t="s">
        <v>59</v>
      </c>
      <c r="I2" s="5">
        <v>15</v>
      </c>
      <c r="J2" s="1">
        <v>10</v>
      </c>
      <c r="K2" s="1" t="s">
        <v>95</v>
      </c>
      <c r="L2" s="2" t="s">
        <v>60</v>
      </c>
      <c r="M2" s="2" t="s">
        <v>54</v>
      </c>
      <c r="N2" s="2" t="s">
        <v>96</v>
      </c>
      <c r="O2" s="2" t="s">
        <v>97</v>
      </c>
      <c r="P2" s="2" t="s">
        <v>98</v>
      </c>
      <c r="Q2" s="2" t="s">
        <v>61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6"/>
  <sheetViews>
    <sheetView workbookViewId="0">
      <selection activeCell="G19" sqref="G19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6.88671875" customWidth="1"/>
    <col min="7" max="7" width="41.33203125" bestFit="1" customWidth="1"/>
    <col min="8" max="8" width="17.33203125" style="4" customWidth="1"/>
    <col min="9" max="9" width="15.88671875" style="5" customWidth="1"/>
    <col min="10" max="10" width="17" customWidth="1"/>
    <col min="11" max="11" width="14.44140625" customWidth="1"/>
  </cols>
  <sheetData>
    <row r="1" spans="1:11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3">
      <c r="A2">
        <v>7</v>
      </c>
      <c r="B2" t="s">
        <v>112</v>
      </c>
      <c r="C2" t="s">
        <v>42</v>
      </c>
      <c r="D2" t="s">
        <v>43</v>
      </c>
      <c r="E2" t="s">
        <v>44</v>
      </c>
      <c r="F2" t="s">
        <v>113</v>
      </c>
      <c r="G2" t="s">
        <v>45</v>
      </c>
      <c r="H2" s="4">
        <v>400</v>
      </c>
      <c r="I2" s="5">
        <v>15</v>
      </c>
      <c r="J2" t="s">
        <v>46</v>
      </c>
      <c r="K2" s="3">
        <v>45003</v>
      </c>
    </row>
    <row r="3" spans="1:11" x14ac:dyDescent="0.3">
      <c r="A3">
        <v>8</v>
      </c>
      <c r="B3" t="s">
        <v>87</v>
      </c>
      <c r="C3" t="s">
        <v>68</v>
      </c>
      <c r="D3" t="s">
        <v>48</v>
      </c>
      <c r="E3" t="s">
        <v>49</v>
      </c>
      <c r="F3" t="s">
        <v>114</v>
      </c>
      <c r="G3" t="s">
        <v>50</v>
      </c>
      <c r="H3" s="4">
        <v>630</v>
      </c>
      <c r="I3" s="5">
        <v>17.5</v>
      </c>
      <c r="J3" t="s">
        <v>46</v>
      </c>
      <c r="K3" s="3">
        <v>45003</v>
      </c>
    </row>
    <row r="4" spans="1:11" x14ac:dyDescent="0.3">
      <c r="A4">
        <v>10</v>
      </c>
      <c r="B4" t="s">
        <v>118</v>
      </c>
      <c r="C4" t="s">
        <v>68</v>
      </c>
      <c r="D4" t="s">
        <v>48</v>
      </c>
      <c r="E4" t="s">
        <v>49</v>
      </c>
      <c r="F4">
        <v>25677</v>
      </c>
      <c r="G4" t="s">
        <v>50</v>
      </c>
      <c r="H4" s="4">
        <v>400</v>
      </c>
      <c r="I4" s="5">
        <v>15</v>
      </c>
      <c r="J4" t="s">
        <v>46</v>
      </c>
      <c r="K4" s="3">
        <v>45003</v>
      </c>
    </row>
    <row r="5" spans="1:11" x14ac:dyDescent="0.3">
      <c r="A5">
        <v>12</v>
      </c>
      <c r="B5" t="s">
        <v>126</v>
      </c>
      <c r="C5" t="s">
        <v>68</v>
      </c>
      <c r="D5" t="s">
        <v>48</v>
      </c>
      <c r="E5" t="s">
        <v>49</v>
      </c>
      <c r="F5" t="s">
        <v>80</v>
      </c>
      <c r="G5" t="s">
        <v>45</v>
      </c>
      <c r="H5" s="4">
        <v>400</v>
      </c>
      <c r="I5" s="5">
        <v>15</v>
      </c>
      <c r="K5" s="3">
        <v>45007</v>
      </c>
    </row>
    <row r="6" spans="1:11" x14ac:dyDescent="0.3">
      <c r="A6">
        <v>13</v>
      </c>
      <c r="B6" t="s">
        <v>141</v>
      </c>
      <c r="C6" t="s">
        <v>42</v>
      </c>
      <c r="D6" t="s">
        <v>103</v>
      </c>
      <c r="E6" t="s">
        <v>142</v>
      </c>
      <c r="F6" t="s">
        <v>143</v>
      </c>
      <c r="G6" t="s">
        <v>45</v>
      </c>
      <c r="H6" s="4">
        <v>400</v>
      </c>
      <c r="I6" s="5">
        <v>15</v>
      </c>
      <c r="J6" t="s">
        <v>144</v>
      </c>
      <c r="K6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sqref="A1:O1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17.44140625" customWidth="1"/>
    <col min="7" max="7" width="10.88671875" customWidth="1"/>
    <col min="8" max="8" width="17.33203125" customWidth="1"/>
    <col min="9" max="9" width="15.88671875" customWidth="1"/>
    <col min="10" max="10" width="13" customWidth="1"/>
    <col min="11" max="12" width="10" customWidth="1"/>
    <col min="13" max="13" width="11.6640625" customWidth="1"/>
    <col min="14" max="14" width="17" customWidth="1"/>
    <col min="15" max="15" width="14.44140625" customWidth="1"/>
  </cols>
  <sheetData>
    <row r="1" spans="1:15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3">
      <c r="A2">
        <v>9</v>
      </c>
      <c r="B2" t="s">
        <v>116</v>
      </c>
      <c r="C2" t="s">
        <v>42</v>
      </c>
      <c r="D2" t="s">
        <v>48</v>
      </c>
      <c r="E2" t="s">
        <v>77</v>
      </c>
      <c r="F2">
        <v>2009</v>
      </c>
      <c r="G2" t="s">
        <v>117</v>
      </c>
      <c r="H2">
        <v>630</v>
      </c>
      <c r="I2" t="s">
        <v>115</v>
      </c>
      <c r="J2">
        <v>45</v>
      </c>
      <c r="K2" t="s">
        <v>78</v>
      </c>
      <c r="L2" t="s">
        <v>79</v>
      </c>
      <c r="M2" t="s">
        <v>80</v>
      </c>
      <c r="N2" t="s">
        <v>81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workbookViewId="0">
      <selection sqref="A1:O1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17.44140625" customWidth="1"/>
    <col min="7" max="7" width="12" customWidth="1"/>
    <col min="8" max="8" width="15.88671875" customWidth="1"/>
    <col min="9" max="9" width="24.88671875" customWidth="1"/>
    <col min="10" max="10" width="9.5546875" customWidth="1"/>
    <col min="11" max="11" width="11.6640625" customWidth="1"/>
    <col min="12" max="13" width="11.5546875" customWidth="1"/>
    <col min="14" max="14" width="86.33203125" bestFit="1" customWidth="1"/>
    <col min="15" max="15" width="14.44140625" customWidth="1"/>
  </cols>
  <sheetData>
    <row r="1" spans="1:15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3">
      <c r="A2">
        <v>4</v>
      </c>
      <c r="B2" t="s">
        <v>47</v>
      </c>
      <c r="C2" t="s">
        <v>68</v>
      </c>
      <c r="D2" t="s">
        <v>63</v>
      </c>
      <c r="E2" t="s">
        <v>64</v>
      </c>
      <c r="F2">
        <v>2009</v>
      </c>
      <c r="G2">
        <v>60</v>
      </c>
      <c r="H2">
        <v>12</v>
      </c>
      <c r="I2">
        <v>10</v>
      </c>
      <c r="J2" t="s">
        <v>65</v>
      </c>
      <c r="K2" t="s">
        <v>99</v>
      </c>
      <c r="L2" t="s">
        <v>100</v>
      </c>
      <c r="M2" t="s">
        <v>101</v>
      </c>
      <c r="N2" t="s">
        <v>66</v>
      </c>
      <c r="O2" s="3">
        <v>45003</v>
      </c>
    </row>
    <row r="3" spans="1:15" x14ac:dyDescent="0.3">
      <c r="A3">
        <v>5</v>
      </c>
      <c r="B3" t="s">
        <v>102</v>
      </c>
      <c r="C3" t="s">
        <v>68</v>
      </c>
      <c r="D3" t="s">
        <v>103</v>
      </c>
      <c r="E3" t="s">
        <v>104</v>
      </c>
      <c r="F3">
        <v>1980</v>
      </c>
      <c r="G3">
        <v>60</v>
      </c>
      <c r="H3">
        <v>12</v>
      </c>
      <c r="I3">
        <v>10</v>
      </c>
      <c r="J3" t="s">
        <v>105</v>
      </c>
      <c r="K3" t="s">
        <v>106</v>
      </c>
      <c r="L3" t="s">
        <v>106</v>
      </c>
      <c r="M3" t="s">
        <v>106</v>
      </c>
      <c r="N3" t="s">
        <v>107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workbookViewId="0">
      <selection activeCell="R1" sqref="A1:R1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17.44140625" customWidth="1"/>
    <col min="7" max="7" width="15.5546875" customWidth="1"/>
    <col min="8" max="8" width="15.88671875" customWidth="1"/>
    <col min="9" max="9" width="18.44140625" customWidth="1"/>
    <col min="10" max="10" width="11.109375" customWidth="1"/>
    <col min="11" max="12" width="10.109375" customWidth="1"/>
    <col min="13" max="13" width="9.5546875" customWidth="1"/>
    <col min="14" max="14" width="11.6640625" customWidth="1"/>
    <col min="15" max="16" width="11.5546875" customWidth="1"/>
    <col min="17" max="17" width="17" customWidth="1"/>
    <col min="18" max="18" width="14.44140625" customWidth="1"/>
  </cols>
  <sheetData>
    <row r="1" spans="1:18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3">
      <c r="A2">
        <v>1</v>
      </c>
      <c r="B2" t="s">
        <v>47</v>
      </c>
      <c r="C2" t="s">
        <v>42</v>
      </c>
      <c r="D2" t="s">
        <v>57</v>
      </c>
      <c r="E2" t="s">
        <v>82</v>
      </c>
      <c r="F2">
        <v>2000</v>
      </c>
      <c r="G2">
        <v>15</v>
      </c>
      <c r="H2" t="s">
        <v>53</v>
      </c>
      <c r="I2">
        <v>220</v>
      </c>
      <c r="J2">
        <v>20</v>
      </c>
      <c r="K2" t="s">
        <v>83</v>
      </c>
      <c r="L2">
        <v>500</v>
      </c>
      <c r="M2" t="s">
        <v>54</v>
      </c>
      <c r="N2" t="s">
        <v>84</v>
      </c>
      <c r="O2" t="s">
        <v>85</v>
      </c>
      <c r="P2" t="s">
        <v>86</v>
      </c>
      <c r="Q2" t="s">
        <v>55</v>
      </c>
      <c r="R2" s="3">
        <v>45003</v>
      </c>
    </row>
    <row r="3" spans="1:18" x14ac:dyDescent="0.3">
      <c r="A3">
        <v>2</v>
      </c>
      <c r="B3" t="s">
        <v>87</v>
      </c>
      <c r="C3" t="s">
        <v>42</v>
      </c>
      <c r="D3" t="s">
        <v>52</v>
      </c>
      <c r="E3" t="s">
        <v>88</v>
      </c>
      <c r="F3">
        <v>2010</v>
      </c>
      <c r="G3">
        <v>15</v>
      </c>
      <c r="H3" t="s">
        <v>89</v>
      </c>
      <c r="I3">
        <v>220</v>
      </c>
      <c r="J3">
        <v>35</v>
      </c>
      <c r="K3" t="s">
        <v>90</v>
      </c>
      <c r="L3">
        <v>1000</v>
      </c>
      <c r="M3" t="s">
        <v>54</v>
      </c>
      <c r="N3" t="s">
        <v>91</v>
      </c>
      <c r="O3" t="s">
        <v>92</v>
      </c>
      <c r="P3" t="s">
        <v>93</v>
      </c>
      <c r="Q3" t="s">
        <v>55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3"/>
  <sheetViews>
    <sheetView workbookViewId="0">
      <selection sqref="A1:S1"/>
    </sheetView>
  </sheetViews>
  <sheetFormatPr defaultRowHeight="14.4" x14ac:dyDescent="0.3"/>
  <cols>
    <col min="1" max="1" width="8.5546875" customWidth="1"/>
    <col min="2" max="2" width="12.109375" bestFit="1" customWidth="1"/>
    <col min="3" max="3" width="36" bestFit="1" customWidth="1"/>
    <col min="4" max="4" width="11.5546875" customWidth="1"/>
    <col min="5" max="5" width="7.44140625" bestFit="1" customWidth="1"/>
    <col min="6" max="6" width="17.44140625" customWidth="1"/>
    <col min="7" max="7" width="11.109375" customWidth="1"/>
    <col min="8" max="8" width="10.88671875" customWidth="1"/>
    <col min="9" max="9" width="10.109375" customWidth="1"/>
    <col min="10" max="10" width="12.5546875" customWidth="1"/>
    <col min="11" max="11" width="12.5546875" bestFit="1" customWidth="1"/>
    <col min="12" max="12" width="13.109375" customWidth="1"/>
    <col min="13" max="13" width="14.109375" customWidth="1"/>
    <col min="14" max="14" width="15.5546875" bestFit="1" customWidth="1"/>
    <col min="15" max="15" width="14.88671875" customWidth="1"/>
    <col min="16" max="16" width="22.6640625" bestFit="1" customWidth="1"/>
    <col min="17" max="17" width="12.44140625" customWidth="1"/>
    <col min="18" max="18" width="98.5546875" bestFit="1" customWidth="1"/>
    <col min="19" max="19" width="14.44140625" customWidth="1"/>
  </cols>
  <sheetData>
    <row r="1" spans="1:19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3">
      <c r="A2">
        <v>6</v>
      </c>
      <c r="B2" t="s">
        <v>108</v>
      </c>
      <c r="C2" t="s">
        <v>68</v>
      </c>
      <c r="D2" t="s">
        <v>69</v>
      </c>
      <c r="E2" t="s">
        <v>109</v>
      </c>
      <c r="F2">
        <v>1999</v>
      </c>
      <c r="G2">
        <v>2000</v>
      </c>
      <c r="H2" t="s">
        <v>110</v>
      </c>
      <c r="I2">
        <v>500</v>
      </c>
      <c r="J2" t="s">
        <v>70</v>
      </c>
      <c r="K2" t="s">
        <v>71</v>
      </c>
      <c r="L2">
        <v>700</v>
      </c>
      <c r="M2" t="s">
        <v>72</v>
      </c>
      <c r="N2" t="s">
        <v>73</v>
      </c>
      <c r="O2" t="s">
        <v>69</v>
      </c>
      <c r="P2" t="s">
        <v>111</v>
      </c>
      <c r="Q2" t="s">
        <v>74</v>
      </c>
      <c r="R2" t="s">
        <v>75</v>
      </c>
      <c r="S2" s="3">
        <v>45003</v>
      </c>
    </row>
    <row r="3" spans="1:19" x14ac:dyDescent="0.3">
      <c r="A3">
        <v>11</v>
      </c>
      <c r="B3" t="s">
        <v>120</v>
      </c>
      <c r="C3" t="s">
        <v>68</v>
      </c>
      <c r="D3" t="s">
        <v>121</v>
      </c>
      <c r="E3" t="s">
        <v>122</v>
      </c>
      <c r="F3">
        <v>2013</v>
      </c>
      <c r="G3">
        <v>4000</v>
      </c>
      <c r="H3">
        <v>259</v>
      </c>
      <c r="I3">
        <v>2000</v>
      </c>
      <c r="J3" t="s">
        <v>123</v>
      </c>
      <c r="K3" t="s">
        <v>54</v>
      </c>
      <c r="L3" t="s">
        <v>80</v>
      </c>
      <c r="M3" t="s">
        <v>72</v>
      </c>
      <c r="N3" t="s">
        <v>124</v>
      </c>
      <c r="O3" t="s">
        <v>121</v>
      </c>
      <c r="P3" t="s">
        <v>53</v>
      </c>
      <c r="Q3">
        <v>220</v>
      </c>
      <c r="R3" t="s">
        <v>125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Alexandre</cp:lastModifiedBy>
  <dcterms:created xsi:type="dcterms:W3CDTF">2015-06-05T18:19:34Z</dcterms:created>
  <dcterms:modified xsi:type="dcterms:W3CDTF">2023-03-30T13:27:54Z</dcterms:modified>
</cp:coreProperties>
</file>